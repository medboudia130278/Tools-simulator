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illage Technicien" sheetId="1" state="visible" r:id="rId3"/>
    <sheet name="Outillage Equipe" sheetId="2" state="visible" r:id="rId4"/>
    <sheet name="Synthe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<sst xmlns="http://schemas.openxmlformats.org/spreadsheetml/2006/main" count="955" uniqueCount="594">
  <si>
    <t xml:space="preserve">OUTILLAGE STANDARD - PAR TECHNICIEN</t>
  </si>
  <si>
    <t xml:space="preserve">Maintenance Énergie Ferroviaire │ BT 400V │ DC Traction 750-1500V │ HTA │ HTB 25kV │ Auxiliaires 24V AC/DC</t>
  </si>
  <si>
    <t xml:space="preserve">N°</t>
  </si>
  <si>
    <t xml:space="preserve">Catégorie</t>
  </si>
  <si>
    <t xml:space="preserve">Description</t>
  </si>
  <si>
    <t xml:space="preserve">Marque</t>
  </si>
  <si>
    <t xml:space="preserve">Modèle / Réf.</t>
  </si>
  <si>
    <t xml:space="preserve">Domaine Tension</t>
  </si>
  <si>
    <t xml:space="preserve">Norme / Isolement</t>
  </si>
  <si>
    <t xml:space="preserve">Statut</t>
  </si>
  <si>
    <t xml:space="preserve">Qté / Tech</t>
  </si>
  <si>
    <t xml:space="preserve">Prix Unit. (€)</t>
  </si>
  <si>
    <t xml:space="preserve">Prix Total (€)</t>
  </si>
  <si>
    <t xml:space="preserve">Vérif. / Étalon.</t>
  </si>
  <si>
    <t xml:space="preserve">Lien Documentation</t>
  </si>
  <si>
    <t xml:space="preserve">Source Prix</t>
  </si>
  <si>
    <t xml:space="preserve">Remarques</t>
  </si>
  <si>
    <t xml:space="preserve">Securite / EPI</t>
  </si>
  <si>
    <t xml:space="preserve">Multimetre TRMS CAT IV 1000V / CAT III 600V - AC/DC tension, courant, resistance, continuite, enregistreur</t>
  </si>
  <si>
    <t xml:space="preserve">Fluke</t>
  </si>
  <si>
    <t xml:space="preserve">289/EUR</t>
  </si>
  <si>
    <t xml:space="preserve">BT / DC Traction</t>
  </si>
  <si>
    <t xml:space="preserve">CAT IV 1000V - IEC 61010</t>
  </si>
  <si>
    <t xml:space="preserve">Obligatoire</t>
  </si>
  <si>
    <t xml:space="preserve">Annuelle (etalonnage)</t>
  </si>
  <si>
    <t xml:space="preserve">https://www.fluke.com/fr-fr/produit/multimetres/multimetres-numeriques/fluke-289</t>
  </si>
  <si>
    <t xml:space="preserve">Fluke Direct / RS Components</t>
  </si>
  <si>
    <t xml:space="preserve">Avec enregistreur de donnees integre. Ref RS ~340 EUR.</t>
  </si>
  <si>
    <t xml:space="preserve">Detecteur de tension sans contact AC 100-1000V (non-contact voltage tester)</t>
  </si>
  <si>
    <t xml:space="preserve">T6-1000PRO</t>
  </si>
  <si>
    <t xml:space="preserve">BT</t>
  </si>
  <si>
    <t xml:space="preserve">CAT IV 1000V</t>
  </si>
  <si>
    <t xml:space="preserve">Annuelle</t>
  </si>
  <si>
    <t xml:space="preserve">https://www.fluke.com/fr-fr/produit/testeurs-electriques/testeurs-tension/fluke-t6-1000-pro</t>
  </si>
  <si>
    <t xml:space="preserve">Fluke Direct</t>
  </si>
  <si>
    <t xml:space="preserve">Mesure sans contact ni fils. Indispensable en securite BT.</t>
  </si>
  <si>
    <t xml:space="preserve">Detecteur de tension bipolaire BT 24V-1000V AC/DC avec sifflet sonore</t>
  </si>
  <si>
    <t xml:space="preserve">Chauvin Arnoux</t>
  </si>
  <si>
    <t xml:space="preserve">CA 6420 N</t>
  </si>
  <si>
    <t xml:space="preserve">CAT IV 1000V - NF EN 61243-3</t>
  </si>
  <si>
    <t xml:space="preserve">https://www.chauvin-arnoux.com/fr/produits/category/detecteurs/ca-6420n</t>
  </si>
  <si>
    <t xml:space="preserve">Chauvin-Arnoux.com</t>
  </si>
  <si>
    <t xml:space="preserve">Conforme NF EN 61243-3. Indispensable avant toute intervention.</t>
  </si>
  <si>
    <t xml:space="preserve">Gants isolants classe 0 (750V max) avec sur-gants cuir - paire</t>
  </si>
  <si>
    <t xml:space="preserve">Honeywell / Salisbury</t>
  </si>
  <si>
    <t xml:space="preserve">2750R/9H + AT127</t>
  </si>
  <si>
    <t xml:space="preserve">Classe 0 - IEC 60903</t>
  </si>
  <si>
    <t xml:space="preserve">6 mois (test dielectrique)</t>
  </si>
  <si>
    <t xml:space="preserve">https://www.salisburybyhoneywell.com/en/products/electrical-safety-gloves</t>
  </si>
  <si>
    <t xml:space="preserve">Honeywell Safety / Facom Pro</t>
  </si>
  <si>
    <t xml:space="preserve">Renouveler apres test dielectrique ou endommagement. Conserver en etui.</t>
  </si>
  <si>
    <t xml:space="preserve">Casque isolant electrique avec ecran facial - classe E (20kV)</t>
  </si>
  <si>
    <t xml:space="preserve">JSP</t>
  </si>
  <si>
    <t xml:space="preserve">EVO3 REV</t>
  </si>
  <si>
    <t xml:space="preserve">Tous domaines</t>
  </si>
  <si>
    <t xml:space="preserve">EN 397 / ANSI Z89.1 - Classe E</t>
  </si>
  <si>
    <t xml:space="preserve">3 ans (remplacement)</t>
  </si>
  <si>
    <t xml:space="preserve">https://www.jspsafety.com/fr/produits/protection-de-la-tete/casques/evo3-rev</t>
  </si>
  <si>
    <t xml:space="preserve">RS Components</t>
  </si>
  <si>
    <t xml:space="preserve">Avec jugulaire et ecran anti-arc. Couleur selon fonction.</t>
  </si>
  <si>
    <t xml:space="preserve">Lunettes de securite anti-arc electrique EN166 / ANSI Z87</t>
  </si>
  <si>
    <t xml:space="preserve">Bolle Safety</t>
  </si>
  <si>
    <t xml:space="preserve">Cobra COBPSI</t>
  </si>
  <si>
    <t xml:space="preserve">EN 166 / EN 170</t>
  </si>
  <si>
    <t xml:space="preserve">1 an ou si endommagement</t>
  </si>
  <si>
    <t xml:space="preserve">https://www.bollesafety.com/fr/</t>
  </si>
  <si>
    <t xml:space="preserve">RS Components / Bossard</t>
  </si>
  <si>
    <t xml:space="preserve">Anti-rayures, anti-buee. Usage systematique en intervention.</t>
  </si>
  <si>
    <t xml:space="preserve">Vetement anti-arc classe 1 (4 cal/cm2) - veste et pantalon</t>
  </si>
  <si>
    <t xml:space="preserve">Enespro / Salisbury</t>
  </si>
  <si>
    <t xml:space="preserve">AGF40KIT</t>
  </si>
  <si>
    <t xml:space="preserve">IEC 61482-2 - Classe 1 min.</t>
  </si>
  <si>
    <t xml:space="preserve">3 ans ou apres arc</t>
  </si>
  <si>
    <t xml:space="preserve">https://www.salisburybyhoneywell.com/en/arc-flash-clothing</t>
  </si>
  <si>
    <t xml:space="preserve">Honeywell Safety</t>
  </si>
  <si>
    <t xml:space="preserve">Obligatoire en zone HTA/HTB. Classe 2 (8 cal/cm2) recommandee pour 25kV.</t>
  </si>
  <si>
    <t xml:space="preserve">Lampe frontale rechargeable ATEX zone 2 - 300 lm min.</t>
  </si>
  <si>
    <t xml:space="preserve">Petzl</t>
  </si>
  <si>
    <t xml:space="preserve">PIXA 3 ATEX E97P3</t>
  </si>
  <si>
    <t xml:space="preserve">ATEX zone 2 - IECEx</t>
  </si>
  <si>
    <t xml:space="preserve">Annuelle (batterie)</t>
  </si>
  <si>
    <t xml:space="preserve">https://www.petzl.com/FR/fr/Sport/Lampes-frontales-professionnelles/PIXA-3</t>
  </si>
  <si>
    <t xml:space="preserve">Petzl Pro / RS Components</t>
  </si>
  <si>
    <t xml:space="preserve">Usage en locaux techniques, tunnels, sous-stations.</t>
  </si>
  <si>
    <t xml:space="preserve">Kit tournevis isoles VDE 1000V - 7 pieces (plat, PH, PZ, Torx)</t>
  </si>
  <si>
    <t xml:space="preserve">Wiha</t>
  </si>
  <si>
    <t xml:space="preserve">36295 SoftFinish VDE Set</t>
  </si>
  <si>
    <t xml:space="preserve">VDE - IEC 60900 - 1000V AC</t>
  </si>
  <si>
    <t xml:space="preserve">Annuelle (inspection visuelle)</t>
  </si>
  <si>
    <t xml:space="preserve">https://www.wiha.com/fr-fr/outillage/tournevis/tournevis-vde/</t>
  </si>
  <si>
    <t xml:space="preserve">Wiha.com / RS Components</t>
  </si>
  <si>
    <t xml:space="preserve">Poignees ergonomiques bi-materiaux. Conforme DIN VDE 0680.</t>
  </si>
  <si>
    <t xml:space="preserve">Kit pinces isolees VDE 1000V - 5 pieces (universelle, coupante, bec, etc.)</t>
  </si>
  <si>
    <t xml:space="preserve">Knipex</t>
  </si>
  <si>
    <t xml:space="preserve">00 20 12 (Coffret 5 pcs VDE)</t>
  </si>
  <si>
    <t xml:space="preserve">https://www.knipex.com/products/pliers-sets/</t>
  </si>
  <si>
    <t xml:space="preserve">Knipex Direct / Manutan</t>
  </si>
  <si>
    <t xml:space="preserve">Gaines bimatieres testees 10kV. Reference excellence du marche.</t>
  </si>
  <si>
    <t xml:space="preserve">Cle dynamometrique isolee VDE 1000V - 1/2 pouce, 20-200 Nm</t>
  </si>
  <si>
    <t xml:space="preserve">Stahlwille</t>
  </si>
  <si>
    <t xml:space="preserve">730a/10 VDE</t>
  </si>
  <si>
    <t xml:space="preserve">VDE - IEC 60900</t>
  </si>
  <si>
    <t xml:space="preserve">Recommande</t>
  </si>
  <si>
    <t xml:space="preserve">https://www.stahlwille.de/fr-FR/produits/cles-dynamometriques/</t>
  </si>
  <si>
    <t xml:space="preserve">Stahlwille Direct</t>
  </si>
  <si>
    <t xml:space="preserve">Pour serrage boulonnerie electrique. Avec certificat etalonnage.</t>
  </si>
  <si>
    <t xml:space="preserve">Outillage General</t>
  </si>
  <si>
    <t xml:space="preserve">Coffret cliquet reversible 1/4" + 3/8" avec douilles metriques 4-24mm, embouts PH/PZ/Torx/6 pans - 100 pieces</t>
  </si>
  <si>
    <t xml:space="preserve">Wera</t>
  </si>
  <si>
    <t xml:space="preserve">9100 SB RA / ou Facom R.230EF</t>
  </si>
  <si>
    <t xml:space="preserve">BT / HTA - Boulonnerie</t>
  </si>
  <si>
    <t xml:space="preserve">ISO 2725 / DIN 3122</t>
  </si>
  <si>
    <t xml:space="preserve">Remplacement si usure</t>
  </si>
  <si>
    <t xml:space="preserve">https://www.wera.de/fr/search/?query=9100+SB</t>
  </si>
  <si>
    <t xml:space="preserve">Wera Direct / RS Components</t>
  </si>
  <si>
    <t xml:space="preserve">Coffret compact type ratchet. Indispensable pour fixations armoires, cosses, bornes. Wera = qualite robustesse terrain.</t>
  </si>
  <si>
    <t xml:space="preserve">Jeu de cles males 6 pans courtes + longues metriques 1.5-10mm - 18 pieces</t>
  </si>
  <si>
    <t xml:space="preserve">352 SB18 (ou Wera 950 PKL)</t>
  </si>
  <si>
    <t xml:space="preserve">DIN 911 / ISO 2936</t>
  </si>
  <si>
    <t xml:space="preserve">https://www.wiha.com/fr-fr/outillage/cles-males/cles-6-pans/</t>
  </si>
  <si>
    <t xml:space="preserve">Usage quotidien : vis CHC, variateurs, relais, equipements rail. Boule de manoeuvre sur serie longue.</t>
  </si>
  <si>
    <t xml:space="preserve">Sacoche a outils individuelle technicien - tissu 600D, 18 compartiments, bandouliere</t>
  </si>
  <si>
    <t xml:space="preserve">00 19 72 LE (Tool Bag)</t>
  </si>
  <si>
    <t xml:space="preserve">-</t>
  </si>
  <si>
    <t xml:space="preserve">https://www.knipex.com/products/tool-bags-and-belts/</t>
  </si>
  <si>
    <t xml:space="preserve">Contient tournevis VDE, pinces, detecteur, multimetre, LOTO, cles 6 pans. Toujours avec le technicien.</t>
  </si>
  <si>
    <t xml:space="preserve">Pistolet chauffant 2000W avec buses concentrateur et reducteur - reglage 50-600°C</t>
  </si>
  <si>
    <t xml:space="preserve">Bosch</t>
  </si>
  <si>
    <t xml:space="preserve">GHG 20-63 Professional</t>
  </si>
  <si>
    <t xml:space="preserve">BT / DC - Gaines &amp; Cables</t>
  </si>
  <si>
    <t xml:space="preserve">Remplacement si defaut</t>
  </si>
  <si>
    <t xml:space="preserve">https://www.bosch-professional.com/fr/fr/products/ghg-20-63-0601212200.html</t>
  </si>
  <si>
    <t xml:space="preserve">Bosch Pro / RS Components</t>
  </si>
  <si>
    <t xml:space="preserve">Pose gaines thermo sur cosses, cables, connecteurs. 2 buses incluses. Steinel HL1910E = alternative.</t>
  </si>
  <si>
    <t xml:space="preserve">Tige magnetique telescopique flexible 4 segments - portee 600g - longueur max 65cm</t>
  </si>
  <si>
    <t xml:space="preserve">Facom</t>
  </si>
  <si>
    <t xml:space="preserve">DA.15PB / ou Knipex 00 11 06</t>
  </si>
  <si>
    <t xml:space="preserve">Remplacement si besoin</t>
  </si>
  <si>
    <t xml:space="preserve">https://www.facom.fr/</t>
  </si>
  <si>
    <t xml:space="preserve">Facom Direct / RS Components</t>
  </si>
  <si>
    <t xml:space="preserve">Recuperation vis, boulons, cosses tombes dans armoires ou conduits. Outil leger a toujours avoir.</t>
  </si>
  <si>
    <t xml:space="preserve">Miroir d'inspection telescopique avec LED integree - miroir pivotant 360°</t>
  </si>
  <si>
    <t xml:space="preserve">S.270PB / ou Bahco BE-8079</t>
  </si>
  <si>
    <t xml:space="preserve">Lecture plaques signalétiques et reperage cablage en zones inaccessibles. Indispensable en sous-station.</t>
  </si>
  <si>
    <t xml:space="preserve">Metre ruban 5m x 25mm - boitier ABS anti-choc - crochet double face magnetique</t>
  </si>
  <si>
    <t xml:space="preserve">Stanley</t>
  </si>
  <si>
    <t xml:space="preserve">STHT36334 FatMax Autolock</t>
  </si>
  <si>
    <t xml:space="preserve">https://www.stanley.fr/</t>
  </si>
  <si>
    <t xml:space="preserve">Brico Pro / RS Components</t>
  </si>
  <si>
    <t xml:space="preserve">Mesure longueur cables, espacement equipements, dimensions armoires. Crochet magnetique utile seul.</t>
  </si>
  <si>
    <t xml:space="preserve">Marqueurs permanents multi-surfaces resistants huile/chaleur - lot de 3 (noir, rouge, blanc)</t>
  </si>
  <si>
    <t xml:space="preserve">Edding</t>
  </si>
  <si>
    <t xml:space="preserve">8300 Industrial Marker</t>
  </si>
  <si>
    <t xml:space="preserve">Consommable - remplacement au besoin</t>
  </si>
  <si>
    <t xml:space="preserve">https://www.edding.com/fr/produits/industrial-marker-8300/</t>
  </si>
  <si>
    <t xml:space="preserve">RS Components / Conrad</t>
  </si>
  <si>
    <t xml:space="preserve">Tracage cables, reperage bornes, numerotation equipements. Resistant a 120°C, solvants, huile.</t>
  </si>
  <si>
    <t xml:space="preserve">Lampe de travail rechargeable orientable 360° - 500 lm - aimant + crochet - IP54</t>
  </si>
  <si>
    <t xml:space="preserve">Scangrip</t>
  </si>
  <si>
    <t xml:space="preserve">03.5122 Flex Wear</t>
  </si>
  <si>
    <t xml:space="preserve">IP54 - EN 60598</t>
  </si>
  <si>
    <t xml:space="preserve">https://www.scangrip.com/fr/produits/travail-general/flex-wear</t>
  </si>
  <si>
    <t xml:space="preserve">Scangrip Direct / RS Components</t>
  </si>
  <si>
    <t xml:space="preserve">Pose dans armoire electrique pour eclairage local. Mains libres. Complement indispensable de la frontale.</t>
  </si>
  <si>
    <t xml:space="preserve">Mesure &amp; Test BT/DC</t>
  </si>
  <si>
    <t xml:space="preserve">Testeur d'isolement portatif 500V/1000V DC - controle rapide isolement circuits controle 24V/48V/110VDC</t>
  </si>
  <si>
    <t xml:space="preserve">1507 Insulation Tester</t>
  </si>
  <si>
    <t xml:space="preserve">DC Auxiliaires 24-110V / BT</t>
  </si>
  <si>
    <t xml:space="preserve">IEC 61557-2 - CAT IV 600V</t>
  </si>
  <si>
    <t xml:space="preserve">https://www.fluke.com/fr-fr/produit/testeurs-isolement/fluke-1507</t>
  </si>
  <si>
    <t xml:space="preserve">Usage quotidien : controle isolement circuits de controle, relais, borniers 24VDC. Plus leger et rapide que MIT525 equipe. 500V et 1000V selectables.</t>
  </si>
  <si>
    <t xml:space="preserve">Testeur RCD/disjoncteur differentiel + mesure impedance de boucle de defaut - IEC 60364</t>
  </si>
  <si>
    <t xml:space="preserve">1664 FC Multifunction</t>
  </si>
  <si>
    <t xml:space="preserve">BT / Auxiliaires 400V</t>
  </si>
  <si>
    <t xml:space="preserve">IEC 61557-3/4/6 - IEC 60364</t>
  </si>
  <si>
    <t xml:space="preserve">https://www.fluke.com/fr-fr/produit/testeurs-installation-electrique/fluke-1664-fc</t>
  </si>
  <si>
    <t xml:space="preserve">Test RCD 10/30/100/300/500mA, impedance boucle defaut, resistance terre. Exige avant toute mise en service BT 400V. Fluke Connect WiFi.</t>
  </si>
  <si>
    <t xml:space="preserve">Mesureur d'impedance de boucle de defaut et de terre 400V - verification protection differentielle</t>
  </si>
  <si>
    <t xml:space="preserve">Metrel</t>
  </si>
  <si>
    <t xml:space="preserve">MI3102H EurotestXD</t>
  </si>
  <si>
    <t xml:space="preserve">IEC 61557 - NF C 15-100</t>
  </si>
  <si>
    <t xml:space="preserve">https://www.metrel.si/instruments/installation-testers/MI3102/</t>
  </si>
  <si>
    <t xml:space="preserve">Metrel.si / RS Components</t>
  </si>
  <si>
    <t xml:space="preserve">Alternative ou complement au 1664FC. Mesure Zs, Ze, Rpe. Usage si client impose norme NF C 15-100 explicitement.</t>
  </si>
  <si>
    <t xml:space="preserve">Pince amperemetrique TRMS AC/DC 1000A - WiFi - Fluke Connect</t>
  </si>
  <si>
    <t xml:space="preserve">376 FC</t>
  </si>
  <si>
    <t xml:space="preserve">BT / DC Traction 750-1500V</t>
  </si>
  <si>
    <t xml:space="preserve">CAT IV 600V - CAT III 1000V</t>
  </si>
  <si>
    <t xml:space="preserve">https://www.fluke.com/fr-fr/produit/mesure-courant/pinces-amperemetriques/fluke-376-fc</t>
  </si>
  <si>
    <t xml:space="preserve">Mesure DC jusqu'a 2500A avec iFlex. Connectivite Fluke Connect.</t>
  </si>
  <si>
    <t xml:space="preserve">Verif. ordre de phases et sequences BT triphasee 80-760V AC</t>
  </si>
  <si>
    <t xml:space="preserve">CA 6412</t>
  </si>
  <si>
    <t xml:space="preserve">CAT IV 600V</t>
  </si>
  <si>
    <t xml:space="preserve">https://www.chauvin-arnoux.com/fr/produits/category/testeurs-electriques/ca-6412</t>
  </si>
  <si>
    <t xml:space="preserve">Verif. rotation sens direct/indirect. Usage avant mise en tension.</t>
  </si>
  <si>
    <t xml:space="preserve">Testeur de continuite et polarite DC avec buzzer - 24V a 1500V DC</t>
  </si>
  <si>
    <t xml:space="preserve">MI2124 / Fluke 101</t>
  </si>
  <si>
    <t xml:space="preserve">DC Traction 750-1500V</t>
  </si>
  <si>
    <t xml:space="preserve">CAT III 1000V</t>
  </si>
  <si>
    <t xml:space="preserve">https://www.metrel.si/instruments/</t>
  </si>
  <si>
    <t xml:space="preserve">Metrel / Conrad</t>
  </si>
  <si>
    <t xml:space="preserve">Verification polarite et continuite circuit DC traction.</t>
  </si>
  <si>
    <t xml:space="preserve">Thermometre infrarouge portatif -50 a +550°C - emissivite reglable</t>
  </si>
  <si>
    <t xml:space="preserve">62 MAX+</t>
  </si>
  <si>
    <t xml:space="preserve">EN 61010-1</t>
  </si>
  <si>
    <t xml:space="preserve">https://www.fluke.com/fr-fr/produit/thermometres/thermometres-infrarouges/fluke-62-max</t>
  </si>
  <si>
    <t xml:space="preserve">Fluke Direct / RS</t>
  </si>
  <si>
    <t xml:space="preserve">Detection rapide points chauds cosses, barres, fusibles.</t>
  </si>
  <si>
    <t xml:space="preserve">Visseuse/perceuse sans fil 18V Li-Ion avec coffret - mandrin 13mm - 2 batteries + chargeur rapide</t>
  </si>
  <si>
    <t xml:space="preserve">GSR 18V-55 Professional</t>
  </si>
  <si>
    <t xml:space="preserve">–</t>
  </si>
  <si>
    <t xml:space="preserve">https://www.bosch-professional.com/fr/fr/products/gsr-18v-55-0615A5002N.html</t>
  </si>
  <si>
    <t xml:space="preserve">Fixations borniers, capots armoires, chemins de cables legers, pattes de fixation. 2 batteries 2Ah incluses. Coffret rigide.</t>
  </si>
  <si>
    <t xml:space="preserve">Cablage &amp; Raccordement</t>
  </si>
  <si>
    <t xml:space="preserve">Pince a sertir hydraulique manuelle - cosses 6 a 240mm2</t>
  </si>
  <si>
    <t xml:space="preserve">Klauke</t>
  </si>
  <si>
    <t xml:space="preserve">K05 / EK60L</t>
  </si>
  <si>
    <t xml:space="preserve">EN 61238-1</t>
  </si>
  <si>
    <t xml:space="preserve">2 ans</t>
  </si>
  <si>
    <t xml:space="preserve">https://www.klauke.com/fr/produits/outils-a-sertir/</t>
  </si>
  <si>
    <t xml:space="preserve">Klauke Direct / Manutan</t>
  </si>
  <si>
    <t xml:space="preserve">Hexagonale ou ronde. Indispensable pour raccordements cables traction et auxiliaires.</t>
  </si>
  <si>
    <t xml:space="preserve">Pince a denuder automatique pour cables 0.2 a 6mm2</t>
  </si>
  <si>
    <t xml:space="preserve">Jokari</t>
  </si>
  <si>
    <t xml:space="preserve">30200 T-Stripper</t>
  </si>
  <si>
    <t xml:space="preserve">BT / DC</t>
  </si>
  <si>
    <t xml:space="preserve">https://www.jokari.de/products/t-stripper-vario</t>
  </si>
  <si>
    <t xml:space="preserve">Reglage automatique selon section. Usage quotidien armoires 400V/24V.</t>
  </si>
  <si>
    <t xml:space="preserve">Couteau a gaine pour cables armes et cables HT - lame courbe</t>
  </si>
  <si>
    <t xml:space="preserve">10250 Secura Coax</t>
  </si>
  <si>
    <t xml:space="preserve">BT / HTA</t>
  </si>
  <si>
    <t xml:space="preserve">https://www.jokari.de/products/</t>
  </si>
  <si>
    <t xml:space="preserve">Decoupe securisee des gaines sans incision conducteurs.</t>
  </si>
  <si>
    <t xml:space="preserve">Etiqueteuse portable imprimante cables et equipements - P-touch</t>
  </si>
  <si>
    <t xml:space="preserve">Brother</t>
  </si>
  <si>
    <t xml:space="preserve">PT-E310BT</t>
  </si>
  <si>
    <t xml:space="preserve">Remplacement batterie</t>
  </si>
  <si>
    <t xml:space="preserve">https://www.brother.fr/products/labelling/</t>
  </si>
  <si>
    <t xml:space="preserve">Brother.fr / RS</t>
  </si>
  <si>
    <t xml:space="preserve">Rubans resistants huile/chaleur. Etiquetage cables, bornes, equipements.</t>
  </si>
  <si>
    <t xml:space="preserve">Ruban isolant haute performance - 19mm x 20m - Scotch 23 (auto-amalgamant) + Scotch 35 (PVC)</t>
  </si>
  <si>
    <t xml:space="preserve">3M</t>
  </si>
  <si>
    <t xml:space="preserve">Scotch 23 + Scotch 35</t>
  </si>
  <si>
    <t xml:space="preserve">UL 510 / IEC 60454</t>
  </si>
  <si>
    <t xml:space="preserve">Consommable</t>
  </si>
  <si>
    <t xml:space="preserve">https://www.3m.fr/3M/fr_FR/p/d/v101154891/</t>
  </si>
  <si>
    <t xml:space="preserve">RS Components / Rexel</t>
  </si>
  <si>
    <t xml:space="preserve">23 = auto-amalgamant, 35 = isolant PVC. Toujours en double.</t>
  </si>
  <si>
    <t xml:space="preserve">Consignation / LOTO</t>
  </si>
  <si>
    <t xml:space="preserve">Kit LOTO personnel - cadenas, etiquettes, serre-cables - sacoche individuelle</t>
  </si>
  <si>
    <t xml:space="preserve">Brady</t>
  </si>
  <si>
    <t xml:space="preserve">65674 Personal LOTO Kit</t>
  </si>
  <si>
    <t xml:space="preserve">ISO 3864 / EN 1037</t>
  </si>
  <si>
    <t xml:space="preserve">Annuelle (inspection)</t>
  </si>
  <si>
    <t xml:space="preserve">https://www.bradyid.eu/fr-fr/lockout-tagout/personal-lockout-kits</t>
  </si>
  <si>
    <t xml:space="preserve">Brady.eu</t>
  </si>
  <si>
    <t xml:space="preserve">Cadenas acier inoxydable. Identification individuelle obligatoire en consignation.</t>
  </si>
  <si>
    <t xml:space="preserve">Cadenas de consignation individuel acier - 1 cle unique - rouge</t>
  </si>
  <si>
    <t xml:space="preserve">Master Lock</t>
  </si>
  <si>
    <t xml:space="preserve">S410RED</t>
  </si>
  <si>
    <t xml:space="preserve">ISO 3864</t>
  </si>
  <si>
    <t xml:space="preserve">5 ans ou remplacement</t>
  </si>
  <si>
    <t xml:space="preserve">https://www.masterlock.eu/fr/products/lockout-tagout/padlocks</t>
  </si>
  <si>
    <t xml:space="preserve">1 cle = 1 agent. 2 cadenas : 1 utilise + 1 spare.</t>
  </si>
  <si>
    <t xml:space="preserve">Etiquettes CONSIGNE signalisation danger electrique - sachet 25</t>
  </si>
  <si>
    <t xml:space="preserve">65518</t>
  </si>
  <si>
    <t xml:space="preserve">ISO 7010 - W012</t>
  </si>
  <si>
    <t xml:space="preserve">https://www.bradyid.eu/fr-fr/lockout-tagout/lockout-tags</t>
  </si>
  <si>
    <t xml:space="preserve">Etiquette rigide avec oeillets. Mention danger + nom technicien.</t>
  </si>
  <si>
    <t xml:space="preserve">TOTAL</t>
  </si>
  <si>
    <t xml:space="preserve">Budget total estimé</t>
  </si>
  <si>
    <t xml:space="preserve">OUTILLAGE SPÉCIFIQUE - PAR ÉQUIPE</t>
  </si>
  <si>
    <t xml:space="preserve">Maintenance Énergie Ferroviaire │ HTA 10-36kV │ HTB 25kV │ DC Traction │ Sous-stations</t>
  </si>
  <si>
    <t xml:space="preserve">Qté / Équipe</t>
  </si>
  <si>
    <t xml:space="preserve">Gants isolants classe 4 (36kV max) avec sur-gants cuir - paire</t>
  </si>
  <si>
    <t xml:space="preserve">7144R/10H + AT117R</t>
  </si>
  <si>
    <t xml:space="preserve">HTA 10-36kV</t>
  </si>
  <si>
    <t xml:space="preserve">Classe 4 - IEC 60903</t>
  </si>
  <si>
    <t xml:space="preserve">Pour interventions HTA jusqu'a 36kV. 1 paire / technicien HTA.</t>
  </si>
  <si>
    <t xml:space="preserve">Gants isolants classe 2 (17kV max) avec sur-gants - paire</t>
  </si>
  <si>
    <t xml:space="preserve">7500R/9H</t>
  </si>
  <si>
    <t xml:space="preserve">DC Traction 1500V / BT 1000V</t>
  </si>
  <si>
    <t xml:space="preserve">Classe 2 - IEC 60903</t>
  </si>
  <si>
    <t xml:space="preserve">Usage DC 1500V traction ou BT renforcee. 1 paire par technicien equipe.</t>
  </si>
  <si>
    <t xml:space="preserve">Vetement anti-arc classe 3 (25 cal/cm2) - combinaison complete</t>
  </si>
  <si>
    <t xml:space="preserve">Oberon</t>
  </si>
  <si>
    <t xml:space="preserve">TCG25-XXL</t>
  </si>
  <si>
    <t xml:space="preserve">HTA/HTB 25kV</t>
  </si>
  <si>
    <t xml:space="preserve">IEC 61482-2 Classe 3 - ATPV 25 cal/cm2</t>
  </si>
  <si>
    <t xml:space="preserve">3 ans ou apres incident</t>
  </si>
  <si>
    <t xml:space="preserve">https://www.oberoncompany.com/arc-flash-clothing</t>
  </si>
  <si>
    <t xml:space="preserve">Oberon Direct</t>
  </si>
  <si>
    <t xml:space="preserve">Obligatoire pour travaux pres de 25kV sous tension. Classe 3 minimum.</t>
  </si>
  <si>
    <t xml:space="preserve">Ecran facial anti-arc 25 cal/cm2 - classe 3</t>
  </si>
  <si>
    <t xml:space="preserve">TCG25-HHG</t>
  </si>
  <si>
    <t xml:space="preserve">IEC 61482-2 - Classe 3</t>
  </si>
  <si>
    <t xml:space="preserve">3 ans ou remplacement</t>
  </si>
  <si>
    <t xml:space="preserve">https://www.oberoncompany.com/arc-flash-face-protection</t>
  </si>
  <si>
    <t xml:space="preserve">Compatible avec casque isolant. Arc Flash Rating 25 cal/cm2 min.</t>
  </si>
  <si>
    <t xml:space="preserve">Caisse a outils a roulettes professionnelle grande capacite - 3 tiroirs verouillables + plateau superieur</t>
  </si>
  <si>
    <t xml:space="preserve">FMST1-75791 FatMax XL</t>
  </si>
  <si>
    <t xml:space="preserve">https://www.stanley.fr/outils-a-main/rangement-outils/boites-outils/</t>
  </si>
  <si>
    <t xml:space="preserve">Stanley Pro / Manutan</t>
  </si>
  <si>
    <t xml:space="preserve">Grande caisse equipe pour outillage HTA/HTB, perches, megohmmetres, testeurs. Charge max 80kg. Antivol.</t>
  </si>
  <si>
    <t xml:space="preserve">Coffret cliquet 1/2" + embouts douilles metriques 10-32mm et cles pipes isolees VDE - 40 pieces</t>
  </si>
  <si>
    <t xml:space="preserve">J.380-E2PB / + SL.444</t>
  </si>
  <si>
    <t xml:space="preserve">VDE partiel - IEC 60900</t>
  </si>
  <si>
    <t xml:space="preserve">https://www.facom.fr/outillage/cles/cles-a-pipe/</t>
  </si>
  <si>
    <t xml:space="preserve">Facom Direct / Rexel</t>
  </si>
  <si>
    <t xml:space="preserve">Coffret 1/2" equipe pour boulonnerie forte (jeux de barres, transformateurs, interrupteurs HTA). Cles pipes 10-32mm.</t>
  </si>
  <si>
    <t xml:space="preserve">Mesure &amp; Test HTA/HTB</t>
  </si>
  <si>
    <t xml:space="preserve">Detecteur de tension HTA 1kV a 36kV - avec sonde telescope</t>
  </si>
  <si>
    <t xml:space="preserve">Catu</t>
  </si>
  <si>
    <t xml:space="preserve">CM-64 / CM-210 (36kV)</t>
  </si>
  <si>
    <t xml:space="preserve">NF EN 61243-1 - Classe IIa</t>
  </si>
  <si>
    <t xml:space="preserve">Annuelle (etalonnage obligatoire)</t>
  </si>
  <si>
    <t xml:space="preserve">https://www.catu.com/fr/produits/detection-de-tension/</t>
  </si>
  <si>
    <t xml:space="preserve">Catu.com</t>
  </si>
  <si>
    <t xml:space="preserve">Verif. absence tension HTA AVANT toute mise a la terre. Test sur verif. etalonnee obligatoire.</t>
  </si>
  <si>
    <t xml:space="preserve">Detecteur de tension HTB 25kV (ligne catenaire AC)</t>
  </si>
  <si>
    <t xml:space="preserve">CM-42 / Horstmann DSP-HV</t>
  </si>
  <si>
    <t xml:space="preserve">HTB 25kV Catenaire</t>
  </si>
  <si>
    <t xml:space="preserve">NF EN 61243-1</t>
  </si>
  <si>
    <t xml:space="preserve">Specifique ligne 25kV. Verif. sur verif-etalonnee avant usage obligatoire.</t>
  </si>
  <si>
    <t xml:space="preserve">Comparateur de phase HTA - verification synchronisme 10-36kV</t>
  </si>
  <si>
    <t xml:space="preserve">CM-51</t>
  </si>
  <si>
    <t xml:space="preserve">NF C 18-150</t>
  </si>
  <si>
    <t xml:space="preserve">https://www.catu.com/fr/produits/comparateurs-de-phase/</t>
  </si>
  <si>
    <t xml:space="preserve">Verification couplage / parallelisme sous-stations HTA.</t>
  </si>
  <si>
    <t xml:space="preserve">Analyseur de qualite reseau triphasee Classe A - IEC 61000-4-30</t>
  </si>
  <si>
    <t xml:space="preserve">435-II</t>
  </si>
  <si>
    <t xml:space="preserve">BT / HTA (via TC/TP)</t>
  </si>
  <si>
    <t xml:space="preserve">IEC 61000-4-30 Classe A - CAT IV 600V</t>
  </si>
  <si>
    <t xml:space="preserve">https://www.fluke.com/fr-fr/produit/analyseurs-qualite-alimentation/fluke-435-ii</t>
  </si>
  <si>
    <t xml:space="preserve">Analyse harmoniques, creux, flicker. Enregistrement long terme.</t>
  </si>
  <si>
    <t xml:space="preserve">Megohmmetre numerique 5kV DC - mesure isolement cables et transformateurs</t>
  </si>
  <si>
    <t xml:space="preserve">Megger</t>
  </si>
  <si>
    <t xml:space="preserve">MIT525</t>
  </si>
  <si>
    <t xml:space="preserve">BT / HTA / Cables</t>
  </si>
  <si>
    <t xml:space="preserve">IEC 61557-2</t>
  </si>
  <si>
    <t xml:space="preserve">https://www.megger.com/mit525</t>
  </si>
  <si>
    <t xml:space="preserve">Megger.com</t>
  </si>
  <si>
    <t xml:space="preserve">Mesure PI, DAR, DD. Usage cables HTA, transformateurs sous-stations.</t>
  </si>
  <si>
    <t xml:space="preserve">Megohmmetre numerique 10kV DC - test isolement tres haute tension</t>
  </si>
  <si>
    <t xml:space="preserve">MIT1025/2</t>
  </si>
  <si>
    <t xml:space="preserve">HTA 10-36kV / HTB 25kV</t>
  </si>
  <si>
    <t xml:space="preserve">https://www.megger.com/mit1025</t>
  </si>
  <si>
    <t xml:space="preserve">Pour tests isolement cables MT et bobinages transformateurs 25kV.</t>
  </si>
  <si>
    <t xml:space="preserve">Micro-ohmmetre (resistance de contact) - 10A a 200A DC</t>
  </si>
  <si>
    <t xml:space="preserve">DLRO10X</t>
  </si>
  <si>
    <t xml:space="preserve">HTA / Appareillage</t>
  </si>
  <si>
    <t xml:space="preserve">IEC 62271 / IEC 60044</t>
  </si>
  <si>
    <t xml:space="preserve">https://www.megger.com/dlro10x</t>
  </si>
  <si>
    <t xml:space="preserve">Mesure resistance contacts disjoncteurs, sectionn., jeux de barres.</t>
  </si>
  <si>
    <t xml:space="preserve">Testeur de relais de protection numerique - 3 phases</t>
  </si>
  <si>
    <t xml:space="preserve">Omicron</t>
  </si>
  <si>
    <t xml:space="preserve">CMC 353</t>
  </si>
  <si>
    <t xml:space="preserve">HTA / Protection</t>
  </si>
  <si>
    <t xml:space="preserve">IEC 60255 - IEC 61850</t>
  </si>
  <si>
    <t xml:space="preserve">https://www.omicronenergy.com/en/products/cmc-353/</t>
  </si>
  <si>
    <t xml:space="preserve">Omicron Energy</t>
  </si>
  <si>
    <t xml:space="preserve">Injection triphasee courant/tension. Test relais differentiel, surcharge, distance.</t>
  </si>
  <si>
    <t xml:space="preserve">Testeur de transformateurs TC/TP (rapport, polarite, erreur)</t>
  </si>
  <si>
    <t xml:space="preserve">MRCT / TTR300</t>
  </si>
  <si>
    <t xml:space="preserve">HTA / TC-TP</t>
  </si>
  <si>
    <t xml:space="preserve">IEC 60044-1 / IEC 61869</t>
  </si>
  <si>
    <t xml:space="preserve">https://www.megger.com/mrct</t>
  </si>
  <si>
    <t xml:space="preserve">Mesure rapport transformation, courant excitation, polarite TC et TT.</t>
  </si>
  <si>
    <t xml:space="preserve">Testeur de resistance d'isolement VLF pour cables HTA</t>
  </si>
  <si>
    <t xml:space="preserve">Baur</t>
  </si>
  <si>
    <t xml:space="preserve">PHG TD/VLF 34 kV</t>
  </si>
  <si>
    <t xml:space="preserve">IEC 60060-3 / NF C 33-052</t>
  </si>
  <si>
    <t xml:space="preserve">Bi-annuelle</t>
  </si>
  <si>
    <t xml:space="preserve">https://www.baur.eu/products/vlf-testing/</t>
  </si>
  <si>
    <t xml:space="preserve">Baur GmbH</t>
  </si>
  <si>
    <t xml:space="preserve">Test dielectrique cables HTA en service. Frequence 0.1 Hz.</t>
  </si>
  <si>
    <t xml:space="preserve">Pince amperemetrique TRMS AC/DC 2500A avec flexible iFlex - Fluke Connect</t>
  </si>
  <si>
    <t xml:space="preserve">376 FC + iFlex Kit</t>
  </si>
  <si>
    <t xml:space="preserve">DC Traction 750-1500V / BT</t>
  </si>
  <si>
    <t xml:space="preserve">CAT III 1000V / CAT IV 600V</t>
  </si>
  <si>
    <t xml:space="preserve">Mesure courant retour traction jusqu'a 2500A DC. Flexible iFlex.</t>
  </si>
  <si>
    <t xml:space="preserve">Analyseur de reseau DC - mesure courant, tension, puissance, energie DC</t>
  </si>
  <si>
    <t xml:space="preserve">MI2892 PowerQ4 Plus</t>
  </si>
  <si>
    <t xml:space="preserve">IEC 61000-4-30</t>
  </si>
  <si>
    <t xml:space="preserve">https://www.metrel.si/instruments/power-and-energy-analysers/MI2892/</t>
  </si>
  <si>
    <t xml:space="preserve">Metrel.si</t>
  </si>
  <si>
    <t xml:space="preserve">Analyse qualite alimentation DC. Mesure ondulation (ripple), chutes tension.</t>
  </si>
  <si>
    <t xml:space="preserve">Testeur de batteries stationnaires (impedance interne) - 12V a 240V</t>
  </si>
  <si>
    <t xml:space="preserve">BT521 Battery Analyzer</t>
  </si>
  <si>
    <t xml:space="preserve">DC Auxiliaires 24-110V</t>
  </si>
  <si>
    <t xml:space="preserve">IEEE 1188 / IEC 60896</t>
  </si>
  <si>
    <t xml:space="preserve">https://www.fluke.com/fr-fr/produit/testeurs-batteries/fluke-bt521</t>
  </si>
  <si>
    <t xml:space="preserve">Mesure impedance interne. Diagnose batteries UPS, 24VDC, 110VDC sous-stations.</t>
  </si>
  <si>
    <t xml:space="preserve">Testeur de resistance de terre (3 poles + 4 poles) - Fluke GEO</t>
  </si>
  <si>
    <t xml:space="preserve">1625-2 GEO Kit</t>
  </si>
  <si>
    <t xml:space="preserve">Tous domaines - Terre</t>
  </si>
  <si>
    <t xml:space="preserve">IEC 61557-5</t>
  </si>
  <si>
    <t xml:space="preserve">https://www.fluke.com/fr-fr/produit/mesure-resistance-terre/fluke-1625-2-geo</t>
  </si>
  <si>
    <t xml:space="preserve">Mesure resistance terre sous-stations et boucles. Methode 3 et 4 pieux.</t>
  </si>
  <si>
    <t xml:space="preserve">Diagnostic Avance</t>
  </si>
  <si>
    <t xml:space="preserve">Camera thermique professionnelle radiometrique 320x240 - MSX - Wifi</t>
  </si>
  <si>
    <t xml:space="preserve">Ti480 PRO</t>
  </si>
  <si>
    <t xml:space="preserve">EN 13187 / IEC 60068-2</t>
  </si>
  <si>
    <t xml:space="preserve">Annuelle (etalonnage COFRAC)</t>
  </si>
  <si>
    <t xml:space="preserve">https://www.fluke.com/fr-fr/produit/cameras-thermiques/fluke-ti480-pro</t>
  </si>
  <si>
    <t xml:space="preserve">Detection points chauds disjoncteurs, cables, connexions. Inspection preventive HTA/BT/DC.</t>
  </si>
  <si>
    <t xml:space="preserve">Oscilloscope portable 4 voies 200MHz - 2.5GS/s - isolation CAT III</t>
  </si>
  <si>
    <t xml:space="preserve">190-204/S ScopeMeter</t>
  </si>
  <si>
    <t xml:space="preserve">CAT III 1000V - CAT IV 600V</t>
  </si>
  <si>
    <t xml:space="preserve">https://www.fluke.com/fr-fr/produit/oscilloscopes/fluke-190-204-s</t>
  </si>
  <si>
    <t xml:space="preserve">Analyse formes ondes variateurs, convertisseurs, relais. IP51.</t>
  </si>
  <si>
    <t xml:space="preserve">Localisateur de defauts cables (Reflectometrie TDR) BT/HTA</t>
  </si>
  <si>
    <t xml:space="preserve">PFL40B</t>
  </si>
  <si>
    <t xml:space="preserve">BT / HTA / DC Traction</t>
  </si>
  <si>
    <t xml:space="preserve">IEC 61196</t>
  </si>
  <si>
    <t xml:space="preserve">https://www.megger.com/pfl40b</t>
  </si>
  <si>
    <t xml:space="preserve">TDR portatif. Localisation ruptures, court-circuits, defauts isolement cables. Precision ±1m.</t>
  </si>
  <si>
    <t xml:space="preserve">Analyseur de spectre portatif pour diagnostic EMC / perturbations HF</t>
  </si>
  <si>
    <t xml:space="preserve">Anritsu</t>
  </si>
  <si>
    <t xml:space="preserve">MS2711E</t>
  </si>
  <si>
    <t xml:space="preserve">Tous domaines - EMC</t>
  </si>
  <si>
    <t xml:space="preserve">IEC 61000-4 serie</t>
  </si>
  <si>
    <t xml:space="preserve">Optionnel</t>
  </si>
  <si>
    <t xml:space="preserve">https://www.anritsu.com/fr-FR/test-measurement/</t>
  </si>
  <si>
    <t xml:space="preserve">Anritsu Direct</t>
  </si>
  <si>
    <t xml:space="preserve">Detection perturbations harmoniques, EMC, interference signalisation voie.</t>
  </si>
  <si>
    <t xml:space="preserve">Perche de manoeuvre isolante HTA 1kV-36kV - actionnement sectionneurs et interrupteurs sans contact direct</t>
  </si>
  <si>
    <t xml:space="preserve">MP-5 / MP-10 (selon tension)</t>
  </si>
  <si>
    <t xml:space="preserve">NF EN 61235 - NF C 18-150</t>
  </si>
  <si>
    <t xml:space="preserve">Annuelle (test dielectrique)</t>
  </si>
  <si>
    <t xml:space="preserve">https://www.catu.com/fr/produits/perches-de-manoeuvre/</t>
  </si>
  <si>
    <t xml:space="preserve">DISTINCTE des perches de mise a la terre. Usage : actionnement sectionneurs, interrupteurs, coupe-circuits HTA en sous-station. Obligatoire pour toute manoeuvre HTA.</t>
  </si>
  <si>
    <t xml:space="preserve">Ecran isolant de voisinage / nappe isolante HTA - protection parties voisines sous tension</t>
  </si>
  <si>
    <t xml:space="preserve">CA-817 / Dima Protection Screens</t>
  </si>
  <si>
    <t xml:space="preserve">NF C 18-510 - NF EN 61318</t>
  </si>
  <si>
    <t xml:space="preserve">Annuelle (inspection + test dielectrique)</t>
  </si>
  <si>
    <t xml:space="preserve">https://www.catu.com/fr/produits/protections-isolantes/</t>
  </si>
  <si>
    <t xml:space="preserve">Pose sur jeux de barres, cables ou connexions voisins sous tension pendant travaux au voisinage HTA. Conforme procedures travaux sous tension ou au voisinage.</t>
  </si>
  <si>
    <t xml:space="preserve">Cle a chocs electrique 18V Li-Ion sans fil - couple max 440 Nm - carre 1/2 pouce</t>
  </si>
  <si>
    <t xml:space="preserve">GDS 18V-400 Professional</t>
  </si>
  <si>
    <t xml:space="preserve">HTA / HTB - Boulonnerie forte</t>
  </si>
  <si>
    <t xml:space="preserve">https://www.bosch-professional.com/fr/fr/products/gds-18v-400-06019A1300.html</t>
  </si>
  <si>
    <t xml:space="preserve">Depose/repose boulonnerie forte : jeux de barres HTA, capots transformateurs, fixations interrupteurs SF6. Complement naturel cles dynamometriques equipe. Batterie 18V compatible gamme Bosch.</t>
  </si>
  <si>
    <t xml:space="preserve">Perceuse a percussion sans fil 18V Li-Ion - mandrin 13mm - 2 batteries 4Ah + chargeur</t>
  </si>
  <si>
    <t xml:space="preserve">GSB 18V-55 Professional</t>
  </si>
  <si>
    <t xml:space="preserve">https://www.bosch-professional.com/fr/fr/products/gsb-18v-55-0615A5003N.html</t>
  </si>
  <si>
    <t xml:space="preserve">Fixations lourdes (chevilles, rails DIN), percement toles armoires, fixations chemins de cables. Batterie 18V compatible gamme Bosch. Complement visseuse technicien.</t>
  </si>
  <si>
    <t xml:space="preserve">Perche de mise a la terre equipotentielle HTA 10-36kV - jeu 3 phases</t>
  </si>
  <si>
    <t xml:space="preserve">MT-56-003</t>
  </si>
  <si>
    <t xml:space="preserve">NF EN 61230 - NF C 18-150</t>
  </si>
  <si>
    <t xml:space="preserve">https://www.catu.com/fr/produits/mise-a-la-terre/</t>
  </si>
  <si>
    <t xml:space="preserve">Obligatoire apres VAT et avant tout travail HTA. Jeu = 3 electrodes + cable equipotentiel.</t>
  </si>
  <si>
    <t xml:space="preserve">Perche de mise a la terre traction DC 750-1500V - rail + aerien</t>
  </si>
  <si>
    <t xml:space="preserve">Sicame / Catu</t>
  </si>
  <si>
    <t xml:space="preserve">MTDC-1500V</t>
  </si>
  <si>
    <t xml:space="preserve">EN 50526 / UIC 660</t>
  </si>
  <si>
    <t xml:space="preserve">Catu.com / Sicame</t>
  </si>
  <si>
    <t xml:space="preserve">Specifique traction DC. Courts-circuite le circuit aerien.</t>
  </si>
  <si>
    <t xml:space="preserve">Station LOTO collective - hasp multi-cadenas (jusqu'a 13 cadenas) + cadenas equipe</t>
  </si>
  <si>
    <t xml:space="preserve">65674 + 51174 (hasp)</t>
  </si>
  <si>
    <t xml:space="preserve">https://www.bradyid.eu/fr-fr/lockout-tagout/hasp-lockouts</t>
  </si>
  <si>
    <t xml:space="preserve">Hasp acier + cadenas collectif rouge. Interventions multi-techniciens.</t>
  </si>
  <si>
    <t xml:space="preserve">Coupe-cable a rochet mecanique jusqu'a 150mm2 - lames trempees replacables - coupe propre sans ecrasement</t>
  </si>
  <si>
    <t xml:space="preserve">95 27 200 (200mm) / 95 29 280 (280mm)</t>
  </si>
  <si>
    <t xml:space="preserve">BT / DC Traction / MT faible section</t>
  </si>
  <si>
    <t xml:space="preserve">EN ISO 5744</t>
  </si>
  <si>
    <t xml:space="preserve">Remplacement lames si usure</t>
  </si>
  <si>
    <t xml:space="preserve">https://www.knipex.com/products/cable-shears/</t>
  </si>
  <si>
    <t xml:space="preserve">Knipex Direct / RS Components</t>
  </si>
  <si>
    <t xml:space="preserve">Coupe cables Cu et Al jusqu'a 150mm2 (BT, DC traction, coaxiaux). Lames replacables. Complement du coupe-cable hydraulique.</t>
  </si>
  <si>
    <t xml:space="preserve">Coupe-cable hydraulique manuel jusqu'a 630mm2 - tete rotative 360° - cables Cu/Al MT et traction</t>
  </si>
  <si>
    <t xml:space="preserve">K50 / EK50ML</t>
  </si>
  <si>
    <t xml:space="preserve">HTA 10-36kV / DC Traction / BT fort section</t>
  </si>
  <si>
    <t xml:space="preserve">Annuelle (inspection joints, lames)</t>
  </si>
  <si>
    <t xml:space="preserve">https://www.klauke.com/fr/produits/outils-a-couper/</t>
  </si>
  <si>
    <t xml:space="preserve">Coupe cables HTA jusqu'a 630mm2 (Cu et Al) et cables traction 240-630mm2. Tete rotative 360°. Effort operateur minimal. Reference terrain sous-stations.</t>
  </si>
  <si>
    <t xml:space="preserve">Cisaille coupe-cable pour cables armes MT - armure acier/aluminium - jusqu'a 50mm diam. exterieur</t>
  </si>
  <si>
    <t xml:space="preserve">Greenlee</t>
  </si>
  <si>
    <t xml:space="preserve">CS750 / ou Cembre TC-630A</t>
  </si>
  <si>
    <t xml:space="preserve">HTA cables armes MT</t>
  </si>
  <si>
    <t xml:space="preserve">Annuelle (inspection lames)</t>
  </si>
  <si>
    <t xml:space="preserve">https://www.greenlee.com/cable-cutting-tools/</t>
  </si>
  <si>
    <t xml:space="preserve">Greenlee / Cembre Direct</t>
  </si>
  <si>
    <t xml:space="preserve">Decoupe cables MT a armure acier ou feuillard alu. Indispensable en depose/repose cables HTA existants sous-stations.</t>
  </si>
  <si>
    <t xml:space="preserve">Cle dynamometrique 3/8 reversible 2-25 Nm - precision ±3% - pour bornes, cosses, relais, terminaisons cables</t>
  </si>
  <si>
    <t xml:space="preserve">S.306-25 / ou Stahlwille 730N/3</t>
  </si>
  <si>
    <t xml:space="preserve">BT / DC - Boulonnerie fine</t>
  </si>
  <si>
    <t xml:space="preserve">ISO 6789 - Classe II</t>
  </si>
  <si>
    <t xml:space="preserve">Annuelle (etalonnage ISO 6789)</t>
  </si>
  <si>
    <t xml:space="preserve">https://www.facom.fr/outillage/cles/cles-dynamometriques/</t>
  </si>
  <si>
    <t xml:space="preserve">Plage 2-25 Nm. Usage bornes borniers, cosses legeres 4-16mm2, relais protection, terminaisons HTA. Livree avec certificat etalonnage.</t>
  </si>
  <si>
    <t xml:space="preserve">Cle dynamometrique 1/2 reversible 20-200 Nm - precision ±2% - pour boulonnerie armoires et equipements</t>
  </si>
  <si>
    <t xml:space="preserve">S.307-200 / ou Stahlwille 730N/6</t>
  </si>
  <si>
    <t xml:space="preserve">BT / HTA - Boulonnerie moyenne</t>
  </si>
  <si>
    <t xml:space="preserve">Annuelle (etalonnage COFRAC recommande)</t>
  </si>
  <si>
    <t xml:space="preserve">Plage 20-200 Nm. Fixations armoires, boulonnerie equipements MT, cosses 50-150mm2, connecteurs HTA. Certificat etalonnage COFRAC recommande.</t>
  </si>
  <si>
    <t xml:space="preserve">Cle dynamometrique 3/4 ou 1 pouce reversible 60-600 Nm - pour jeux de barres HTA, transformateurs, brides 25kV</t>
  </si>
  <si>
    <t xml:space="preserve">730N/10 (60-320Nm) + 731/10 (100-500Nm)</t>
  </si>
  <si>
    <t xml:space="preserve">Plage 60-600 Nm. Visserie jeux de barres HTA, brides transformateurs, fixations interrupteurs SF6, raccords brides 25kV catenaire. Certificat COFRAC obligatoire.</t>
  </si>
  <si>
    <t xml:space="preserve">Cle dynamometrique electronique 3/8+1/2 pouces 2-200 Nm - affichage numerique - memoire + export USB - tracabilite serrages</t>
  </si>
  <si>
    <t xml:space="preserve">E.316-200 NANO / ou Stahlwille MANOSKOP 730E</t>
  </si>
  <si>
    <t xml:space="preserve">BT / HTA - Tracabilite</t>
  </si>
  <si>
    <t xml:space="preserve">ISO 6789 Type II Classe A</t>
  </si>
  <si>
    <t xml:space="preserve">Annuelle (etalonnage COFRAC avec rapport)</t>
  </si>
  <si>
    <t xml:space="preserve">https://www.facom.fr/outillage/cles/cles-dynamometriques-electroniques/</t>
  </si>
  <si>
    <t xml:space="preserve">Facom Direct</t>
  </si>
  <si>
    <t xml:space="preserve">Memoire 1000 serrages. Export USB/Bluetooth vers logiciel tracabilite. Buzzer + LED validation couple. Exige par certains referentiels maintenance ferroviaire (Infrabel, RFI, Network Rail).</t>
  </si>
  <si>
    <t xml:space="preserve">Materiel Collectif</t>
  </si>
  <si>
    <t xml:space="preserve">Groupe electrogene portable 3.5 kVA - monophase 230V - inversion automatique</t>
  </si>
  <si>
    <t xml:space="preserve">Honda</t>
  </si>
  <si>
    <t xml:space="preserve">EU30i</t>
  </si>
  <si>
    <t xml:space="preserve">Auxiliaires BT</t>
  </si>
  <si>
    <t xml:space="preserve">EN 12601</t>
  </si>
  <si>
    <t xml:space="preserve">Annuelle (vidange + revision)</t>
  </si>
  <si>
    <t xml:space="preserve">https://www.honda.fr/power/products/generators/eu30i.html</t>
  </si>
  <si>
    <t xml:space="preserve">Honda Pro</t>
  </si>
  <si>
    <t xml:space="preserve">Alimentation secourue equipements diagnostic en zone sans alimentation. Silencieux 50-56 dB.</t>
  </si>
  <si>
    <t xml:space="preserve">Mallette de signalisation et balisage chantier - cones + rubans + panneaux</t>
  </si>
  <si>
    <t xml:space="preserve">HEKA / Vepro</t>
  </si>
  <si>
    <t xml:space="preserve">Kit signalisation ferroviaire</t>
  </si>
  <si>
    <t xml:space="preserve">Tous domaines - Securite voie</t>
  </si>
  <si>
    <t xml:space="preserve">NF EN ISO 7010</t>
  </si>
  <si>
    <t xml:space="preserve">https://www.heka-signal.com/</t>
  </si>
  <si>
    <t xml:space="preserve">HEKA Signal</t>
  </si>
  <si>
    <t xml:space="preserve">Balisage zone intervention voie/sous-station. Cones classe 2, panneaux NF.</t>
  </si>
  <si>
    <t xml:space="preserve">Trousse de premiers secours professionnelle - norme EN13169</t>
  </si>
  <si>
    <t xml:space="preserve">Aptus / Gramm Medical</t>
  </si>
  <si>
    <t xml:space="preserve">First Aid Kit Pro</t>
  </si>
  <si>
    <t xml:space="preserve">EN 13169 / DIN 13157</t>
  </si>
  <si>
    <t xml:space="preserve">6 mois (verif peremption)</t>
  </si>
  <si>
    <t xml:space="preserve">https://www.gramm-medical.com/</t>
  </si>
  <si>
    <t xml:space="preserve">RS Components / Grainger</t>
  </si>
  <si>
    <t xml:space="preserve">Verifier peremption et garnissage tous les 6 mois.</t>
  </si>
  <si>
    <t xml:space="preserve">Extincteur portable CO2 5kg - classe B/C - adapte armoires electriques</t>
  </si>
  <si>
    <t xml:space="preserve">Sicli / Amerex</t>
  </si>
  <si>
    <t xml:space="preserve">T5</t>
  </si>
  <si>
    <t xml:space="preserve">EN 615 / EN 3-7</t>
  </si>
  <si>
    <t xml:space="preserve">Annuelle (controle pression)</t>
  </si>
  <si>
    <t xml:space="preserve">https://www.sicli.com/extincteur-co2</t>
  </si>
  <si>
    <t xml:space="preserve">Sicli / Manutan</t>
  </si>
  <si>
    <t xml:space="preserve">CO2 uniquement pour armoires electriques. Toujours dans vehicule intervention.</t>
  </si>
  <si>
    <t xml:space="preserve">Ordinateur portable durci IP65 - Intel i7 - Win11 Pro - logiciels diagnostic</t>
  </si>
  <si>
    <t xml:space="preserve">Panasonic</t>
  </si>
  <si>
    <t xml:space="preserve">Toughbook FZ-55</t>
  </si>
  <si>
    <t xml:space="preserve">Tous domaines - Diagnostic</t>
  </si>
  <si>
    <t xml:space="preserve">IP65 - MIL-STD-810H</t>
  </si>
  <si>
    <t xml:space="preserve">Remplacement 5 ans</t>
  </si>
  <si>
    <t xml:space="preserve">https://www.panasonic.com/uk/business/toughbook/laptops/fz-55.html</t>
  </si>
  <si>
    <t xml:space="preserve">Panasonic / Insight Direct</t>
  </si>
  <si>
    <t xml:space="preserve">Connexion relais numeriques IEC 61850, SCADA, config variateurs.</t>
  </si>
  <si>
    <t xml:space="preserve">SYNTHÈSE BUDGÉTAIRE - OUTILLAGE ÉNERGIE FERROVIAIRE</t>
  </si>
  <si>
    <t xml:space="preserve">Domaines : BT 400V │ DC Traction 750V &amp; 1500V │ HTA 10-36kV │ HTB 25kV │ Auxiliaires 24V AC/DC</t>
  </si>
  <si>
    <t xml:space="preserve">Section</t>
  </si>
  <si>
    <t xml:space="preserve">Qté</t>
  </si>
  <si>
    <t xml:space="preserve">Base</t>
  </si>
  <si>
    <t xml:space="preserve">Budget Estimé (€)</t>
  </si>
  <si>
    <t xml:space="preserve">Notes</t>
  </si>
  <si>
    <t xml:space="preserve">Technicien - Standard</t>
  </si>
  <si>
    <t xml:space="preserve">Outillage individuel par technicien</t>
  </si>
  <si>
    <t xml:space="preserve">Par technicien</t>
  </si>
  <si>
    <t xml:space="preserve">Multiplier × nombre de techniciens</t>
  </si>
  <si>
    <t xml:space="preserve">Équipe - Spécifique</t>
  </si>
  <si>
    <t xml:space="preserve">Outillage partagé par équipe de 4-6 techs</t>
  </si>
  <si>
    <t xml:space="preserve">Par équipe</t>
  </si>
  <si>
    <t xml:space="preserve">1 jeu par équipe opérationnelle</t>
  </si>
  <si>
    <t xml:space="preserve">1 technicien + 1 équipe</t>
  </si>
  <si>
    <t xml:space="preserve">Dotation complète 1 équipe standard</t>
  </si>
  <si>
    <t xml:space="preserve">1 équipe</t>
  </si>
  <si>
    <t xml:space="preserve">Hors EPI consommables et renouvellement</t>
  </si>
  <si>
    <t xml:space="preserve">4 techniciens + 1 équipe</t>
  </si>
  <si>
    <t xml:space="preserve">Configuration type équipe de 4</t>
  </si>
  <si>
    <t xml:space="preserve">Équipe complète (4 techs)</t>
  </si>
  <si>
    <t xml:space="preserve">Base de calcul recommandée</t>
  </si>
  <si>
    <t xml:space="preserve">LÉGENDE - CODES COULEUR ET CATÉGORIES</t>
  </si>
  <si>
    <t xml:space="preserve">OBLIGATOIRE</t>
  </si>
  <si>
    <t xml:space="preserve">Outil indispensable - acquisition prioritaire avant toute mise en service</t>
  </si>
  <si>
    <t xml:space="preserve">RECOMMANDÉ</t>
  </si>
  <si>
    <t xml:space="preserve">Fortement conseillé selon contexte et missions de l'équipe</t>
  </si>
  <si>
    <t xml:space="preserve">OPTIONNEL</t>
  </si>
  <si>
    <t xml:space="preserve">Utile pour missions spécifiques ou extensions futures</t>
  </si>
  <si>
    <t xml:space="preserve">Sécurité / EPI</t>
  </si>
  <si>
    <t xml:space="preserve">Protection individuelle, outillage isolé VDE, détecteurs</t>
  </si>
  <si>
    <t xml:space="preserve">Outillage Général</t>
  </si>
  <si>
    <t xml:space="preserve">Outillage mécanique, sacoche, rangement, éclairage - NOUVEAU</t>
  </si>
  <si>
    <t xml:space="preserve">Appareils de mesure basse tension et traction DC</t>
  </si>
  <si>
    <t xml:space="preserve">Appareils spécifiques HTA 10-36kV et HTB 25kV</t>
  </si>
  <si>
    <t xml:space="preserve">Câblage</t>
  </si>
  <si>
    <t xml:space="preserve">Pince à sertir, dénuder, gaine thermo, marquage</t>
  </si>
  <si>
    <t xml:space="preserve">Cadenas, perches de mise à la terre, balisage</t>
  </si>
  <si>
    <t xml:space="preserve">Diagnostic Avancé</t>
  </si>
  <si>
    <t xml:space="preserve">Caméra thermique, oscilloscope, TDR, EMC</t>
  </si>
  <si>
    <t xml:space="preserve">Matériel Collectif</t>
  </si>
  <si>
    <t xml:space="preserve">Groupe électrogène, signalisation, premiers secours</t>
  </si>
  <si>
    <t xml:space="preserve">NOTES IMPORTANTES :
1. Prix indicatifs HT relevés début 2024 - vérifier auprès des fournisseurs pour tarifs actuels.
2. Tout outillage métrologique doit être étalonné selon la fréquence indiquée (registre d'étalonnage obligatoire).
3. Gants isolants : test diélectrique obligatoire tous les 6 mois - référencer en registre équipe.
4. EPI anti-arc : adapter la classe au niveau de risque de chaque poste (étude arc flash obligatoire).
5. Coffret cliquet + sacoche + pistolet chauffant ajoutés en v2 sur retour utilisateur terrain.
6. Ce document est un point de départ - adapter selon le référentiel interne du gestionnaire d'infrastructure.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</si>
</sst>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40C]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A4A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D6001C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1A3A5C"/>
      <name val="Arial"/>
      <family val="0"/>
      <charset val="1"/>
    </font>
    <font>
      <b val="true"/>
      <sz val="9"/>
      <color rgb="FF7B5E3A"/>
      <name val="Arial"/>
      <family val="0"/>
      <charset val="1"/>
    </font>
    <font>
      <b val="true"/>
      <sz val="9"/>
      <color rgb="FF1A6B3C"/>
      <name val="Arial"/>
      <family val="0"/>
      <charset val="1"/>
    </font>
    <font>
      <b val="true"/>
      <sz val="9"/>
      <color rgb="FFE67E00"/>
      <name val="Arial"/>
      <family val="0"/>
      <charset val="1"/>
    </font>
    <font>
      <b val="true"/>
      <sz val="9"/>
      <color rgb="FF6B2D8B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9"/>
      <color rgb="FF00539B"/>
      <name val="Arial"/>
      <family val="0"/>
      <charset val="1"/>
    </font>
    <font>
      <b val="true"/>
      <sz val="9"/>
      <color rgb="FF005F87"/>
      <name val="Arial"/>
      <family val="0"/>
      <charset val="1"/>
    </font>
    <font>
      <b val="true"/>
      <sz val="9"/>
      <color rgb="FF3D3D3D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3D3D3D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A3A5C"/>
        <bgColor rgb="FF3D3D3D"/>
      </patternFill>
    </fill>
    <fill>
      <patternFill patternType="solid">
        <fgColor rgb="FFEEF2FA"/>
        <bgColor rgb="FFE8F0FB"/>
      </patternFill>
    </fill>
    <fill>
      <patternFill patternType="solid">
        <fgColor rgb="FF2C5282"/>
        <bgColor rgb="FF4A4A6A"/>
      </patternFill>
    </fill>
    <fill>
      <patternFill patternType="solid">
        <fgColor rgb="FFD6001C"/>
        <bgColor rgb="FFC0392B"/>
      </patternFill>
    </fill>
    <fill>
      <patternFill patternType="solid">
        <fgColor rgb="FFFFE8EA"/>
        <bgColor rgb="FFF5EFE6"/>
      </patternFill>
    </fill>
    <fill>
      <patternFill patternType="solid">
        <fgColor rgb="FFC0392B"/>
        <bgColor rgb="FF993366"/>
      </patternFill>
    </fill>
    <fill>
      <patternFill patternType="solid">
        <fgColor rgb="FF2980B9"/>
        <bgColor rgb="FF3366FF"/>
      </patternFill>
    </fill>
    <fill>
      <patternFill patternType="solid">
        <fgColor rgb="FF7B5E3A"/>
        <bgColor rgb="FF4A4A6A"/>
      </patternFill>
    </fill>
    <fill>
      <patternFill patternType="solid">
        <fgColor rgb="FFF5EFE6"/>
        <bgColor rgb="FFF0F0F0"/>
      </patternFill>
    </fill>
    <fill>
      <patternFill patternType="solid">
        <fgColor rgb="FF1A6B3C"/>
        <bgColor rgb="FF005F87"/>
      </patternFill>
    </fill>
    <fill>
      <patternFill patternType="solid">
        <fgColor rgb="FFE8F5EE"/>
        <bgColor rgb="FFEEF2FA"/>
      </patternFill>
    </fill>
    <fill>
      <patternFill patternType="solid">
        <fgColor rgb="FFE67E00"/>
        <bgColor rgb="FFFF9900"/>
      </patternFill>
    </fill>
    <fill>
      <patternFill patternType="solid">
        <fgColor rgb="FFFFF3E0"/>
        <bgColor rgb="FFFFF9E6"/>
      </patternFill>
    </fill>
    <fill>
      <patternFill patternType="solid">
        <fgColor rgb="FF6B2D8B"/>
        <bgColor rgb="FF993366"/>
      </patternFill>
    </fill>
    <fill>
      <patternFill patternType="solid">
        <fgColor rgb="FFF3E8FB"/>
        <bgColor rgb="FFF0F0F0"/>
      </patternFill>
    </fill>
    <fill>
      <patternFill patternType="solid">
        <fgColor rgb="FFFFF0C0"/>
        <bgColor rgb="FFFFF3E0"/>
      </patternFill>
    </fill>
    <fill>
      <patternFill patternType="solid">
        <fgColor rgb="FF00539B"/>
        <bgColor rgb="FF005F87"/>
      </patternFill>
    </fill>
    <fill>
      <patternFill patternType="solid">
        <fgColor rgb="FFE8F0FB"/>
        <bgColor rgb="FFEEF2FA"/>
      </patternFill>
    </fill>
    <fill>
      <patternFill patternType="solid">
        <fgColor rgb="FF005F87"/>
        <bgColor rgb="FF00539B"/>
      </patternFill>
    </fill>
    <fill>
      <patternFill patternType="solid">
        <fgColor rgb="FFE0F0F7"/>
        <bgColor rgb="FFE8F0FB"/>
      </patternFill>
    </fill>
    <fill>
      <patternFill patternType="solid">
        <fgColor rgb="FF27AE60"/>
        <bgColor rgb="FF33CCCC"/>
      </patternFill>
    </fill>
    <fill>
      <patternFill patternType="solid">
        <fgColor rgb="FF3D3D3D"/>
        <bgColor rgb="FF4A4A6A"/>
      </patternFill>
    </fill>
    <fill>
      <patternFill patternType="solid">
        <fgColor rgb="FFF0F0F0"/>
        <bgColor rgb="FFEEF2FA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F9E6"/>
        <bgColor rgb="FFFFF3E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0B8C8"/>
      </left>
      <right style="thin">
        <color rgb="FFB0B8C8"/>
      </right>
      <top style="thin">
        <color rgb="FFB0B8C8"/>
      </top>
      <bottom style="thin">
        <color rgb="FFB0B8C8"/>
      </bottom>
      <diagonal/>
    </border>
    <border diagonalUp="false" diagonalDown="false">
      <left style="thin">
        <color rgb="FFB0B8C8"/>
      </left>
      <right/>
      <top style="thin">
        <color rgb="FFB0B8C8"/>
      </top>
      <bottom style="thin">
        <color rgb="FFB0B8C8"/>
      </bottom>
      <diagonal/>
    </border>
    <border diagonalUp="false" diagonalDown="false">
      <left style="thin">
        <color rgb="FFB0B8C8"/>
      </left>
      <right/>
      <top style="thin">
        <color rgb="FFB0B8C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1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1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1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1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2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2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2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2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6001C"/>
      <rgbColor rgb="FF00FF00"/>
      <rgbColor rgb="FF0000FF"/>
      <rgbColor rgb="FFFFF3E0"/>
      <rgbColor rgb="FFFF00FF"/>
      <rgbColor rgb="FF00FFFF"/>
      <rgbColor rgb="FF800000"/>
      <rgbColor rgb="FF1A6B3C"/>
      <rgbColor rgb="FF000080"/>
      <rgbColor rgb="FF7B5E3A"/>
      <rgbColor rgb="FF800080"/>
      <rgbColor rgb="FF005F87"/>
      <rgbColor rgb="FFB0B8C8"/>
      <rgbColor rgb="FF808080"/>
      <rgbColor rgb="FF9999FF"/>
      <rgbColor rgb="FF6B2D8B"/>
      <rgbColor rgb="FFFFF9E6"/>
      <rgbColor rgb="FFE0F0F7"/>
      <rgbColor rgb="FF660066"/>
      <rgbColor rgb="FFFF8080"/>
      <rgbColor rgb="FF00539B"/>
      <rgbColor rgb="FFF3E8FB"/>
      <rgbColor rgb="FF000080"/>
      <rgbColor rgb="FFFF00FF"/>
      <rgbColor rgb="FFF7F9FC"/>
      <rgbColor rgb="FF00FFFF"/>
      <rgbColor rgb="FF800080"/>
      <rgbColor rgb="FF800000"/>
      <rgbColor rgb="FF2980B9"/>
      <rgbColor rgb="FF0000FF"/>
      <rgbColor rgb="FF00CCFF"/>
      <rgbColor rgb="FFE8F5EE"/>
      <rgbColor rgb="FFE8F0FB"/>
      <rgbColor rgb="FFFFF0C0"/>
      <rgbColor rgb="FFEEF2FA"/>
      <rgbColor rgb="FFF5EFE6"/>
      <rgbColor rgb="FFF0F0F0"/>
      <rgbColor rgb="FFFFE8EA"/>
      <rgbColor rgb="FF3366FF"/>
      <rgbColor rgb="FF33CCCC"/>
      <rgbColor rgb="FF99CC00"/>
      <rgbColor rgb="FFFFCC00"/>
      <rgbColor rgb="FFFF9900"/>
      <rgbColor rgb="FFE67E00"/>
      <rgbColor rgb="FF4A4A6A"/>
      <rgbColor rgb="FF969696"/>
      <rgbColor rgb="FF1A3A5C"/>
      <rgbColor rgb="FF27AE60"/>
      <rgbColor rgb="FF003300"/>
      <rgbColor rgb="FF1A1A2E"/>
      <rgbColor rgb="FFC0392B"/>
      <rgbColor rgb="FF993366"/>
      <rgbColor rgb="FF2C5282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true"/>
  </sheetPr>
  <dimension ref="A1:O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1" min="10" style="0" width="14"/>
    <col collapsed="false" customWidth="true" hidden="false" outlineLevel="0" max="12" min="12" style="0" width="18"/>
    <col collapsed="false" customWidth="true" hidden="false" outlineLevel="0" max="13" min="13" style="0" width="30"/>
    <col collapsed="false" customWidth="true" hidden="false" outlineLevel="0" max="14" min="14" style="0" width="22"/>
    <col collapsed="false" customWidth="true" hidden="false" outlineLevel="0" max="15" min="15" style="0" width="4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4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customFormat="false" ht="42" hidden="false" customHeight="true" outlineLevel="0" collapsed="false">
      <c r="A4" s="4" t="n">
        <v>1</v>
      </c>
      <c r="B4" s="5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7" t="s">
        <v>23</v>
      </c>
      <c r="I4" s="8" t="n">
        <v>1</v>
      </c>
      <c r="J4" s="9" t="n">
        <v>340</v>
      </c>
      <c r="K4" s="10" t="n">
        <f aca="false">I4*J4</f>
        <v>340</v>
      </c>
      <c r="L4" s="6" t="s">
        <v>24</v>
      </c>
      <c r="M4" s="6" t="s">
        <v>25</v>
      </c>
      <c r="N4" s="6" t="s">
        <v>26</v>
      </c>
      <c r="O4" s="6" t="s">
        <v>27</v>
      </c>
    </row>
    <row r="5" customFormat="false" ht="42" hidden="false" customHeight="true" outlineLevel="0" collapsed="false">
      <c r="A5" s="4" t="n">
        <v>2</v>
      </c>
      <c r="B5" s="5" t="s">
        <v>17</v>
      </c>
      <c r="C5" s="6" t="s">
        <v>28</v>
      </c>
      <c r="D5" s="6" t="s">
        <v>19</v>
      </c>
      <c r="E5" s="6" t="s">
        <v>29</v>
      </c>
      <c r="F5" s="6" t="s">
        <v>30</v>
      </c>
      <c r="G5" s="6" t="s">
        <v>31</v>
      </c>
      <c r="H5" s="7" t="s">
        <v>23</v>
      </c>
      <c r="I5" s="8" t="n">
        <v>1</v>
      </c>
      <c r="J5" s="9" t="n">
        <v>155</v>
      </c>
      <c r="K5" s="10" t="n">
        <f aca="false">I5*J5</f>
        <v>155</v>
      </c>
      <c r="L5" s="6" t="s">
        <v>32</v>
      </c>
      <c r="M5" s="6" t="s">
        <v>33</v>
      </c>
      <c r="N5" s="6" t="s">
        <v>34</v>
      </c>
      <c r="O5" s="6" t="s">
        <v>35</v>
      </c>
    </row>
    <row r="6" customFormat="false" ht="42" hidden="false" customHeight="true" outlineLevel="0" collapsed="false">
      <c r="A6" s="4" t="n">
        <v>3</v>
      </c>
      <c r="B6" s="5" t="s">
        <v>17</v>
      </c>
      <c r="C6" s="6" t="s">
        <v>36</v>
      </c>
      <c r="D6" s="6" t="s">
        <v>37</v>
      </c>
      <c r="E6" s="6" t="s">
        <v>38</v>
      </c>
      <c r="F6" s="6" t="s">
        <v>21</v>
      </c>
      <c r="G6" s="6" t="s">
        <v>39</v>
      </c>
      <c r="H6" s="7" t="s">
        <v>23</v>
      </c>
      <c r="I6" s="8" t="n">
        <v>1</v>
      </c>
      <c r="J6" s="9" t="n">
        <v>82</v>
      </c>
      <c r="K6" s="10" t="n">
        <f aca="false">I6*J6</f>
        <v>82</v>
      </c>
      <c r="L6" s="6" t="s">
        <v>32</v>
      </c>
      <c r="M6" s="6" t="s">
        <v>40</v>
      </c>
      <c r="N6" s="6" t="s">
        <v>41</v>
      </c>
      <c r="O6" s="6" t="s">
        <v>42</v>
      </c>
    </row>
    <row r="7" customFormat="false" ht="42" hidden="false" customHeight="true" outlineLevel="0" collapsed="false">
      <c r="A7" s="4" t="n">
        <v>4</v>
      </c>
      <c r="B7" s="5" t="s">
        <v>17</v>
      </c>
      <c r="C7" s="6" t="s">
        <v>43</v>
      </c>
      <c r="D7" s="6" t="s">
        <v>44</v>
      </c>
      <c r="E7" s="6" t="s">
        <v>45</v>
      </c>
      <c r="F7" s="6" t="s">
        <v>21</v>
      </c>
      <c r="G7" s="6" t="s">
        <v>46</v>
      </c>
      <c r="H7" s="7" t="s">
        <v>23</v>
      </c>
      <c r="I7" s="8" t="n">
        <v>1</v>
      </c>
      <c r="J7" s="9" t="n">
        <v>85</v>
      </c>
      <c r="K7" s="10" t="n">
        <f aca="false">I7*J7</f>
        <v>85</v>
      </c>
      <c r="L7" s="6" t="s">
        <v>47</v>
      </c>
      <c r="M7" s="6" t="s">
        <v>48</v>
      </c>
      <c r="N7" s="6" t="s">
        <v>49</v>
      </c>
      <c r="O7" s="6" t="s">
        <v>50</v>
      </c>
    </row>
    <row r="8" customFormat="false" ht="42" hidden="false" customHeight="true" outlineLevel="0" collapsed="false">
      <c r="A8" s="4" t="n">
        <v>5</v>
      </c>
      <c r="B8" s="5" t="s">
        <v>17</v>
      </c>
      <c r="C8" s="6" t="s">
        <v>51</v>
      </c>
      <c r="D8" s="6" t="s">
        <v>52</v>
      </c>
      <c r="E8" s="6" t="s">
        <v>53</v>
      </c>
      <c r="F8" s="6" t="s">
        <v>54</v>
      </c>
      <c r="G8" s="6" t="s">
        <v>55</v>
      </c>
      <c r="H8" s="7" t="s">
        <v>23</v>
      </c>
      <c r="I8" s="8" t="n">
        <v>1</v>
      </c>
      <c r="J8" s="9" t="n">
        <v>58</v>
      </c>
      <c r="K8" s="10" t="n">
        <f aca="false">I8*J8</f>
        <v>58</v>
      </c>
      <c r="L8" s="6" t="s">
        <v>56</v>
      </c>
      <c r="M8" s="6" t="s">
        <v>57</v>
      </c>
      <c r="N8" s="6" t="s">
        <v>58</v>
      </c>
      <c r="O8" s="6" t="s">
        <v>59</v>
      </c>
    </row>
    <row r="9" customFormat="false" ht="42" hidden="false" customHeight="true" outlineLevel="0" collapsed="false">
      <c r="A9" s="4" t="n">
        <v>6</v>
      </c>
      <c r="B9" s="5" t="s">
        <v>17</v>
      </c>
      <c r="C9" s="6" t="s">
        <v>60</v>
      </c>
      <c r="D9" s="6" t="s">
        <v>61</v>
      </c>
      <c r="E9" s="6" t="s">
        <v>62</v>
      </c>
      <c r="F9" s="6" t="s">
        <v>54</v>
      </c>
      <c r="G9" s="6" t="s">
        <v>63</v>
      </c>
      <c r="H9" s="7" t="s">
        <v>23</v>
      </c>
      <c r="I9" s="8" t="n">
        <v>1</v>
      </c>
      <c r="J9" s="9" t="n">
        <v>22</v>
      </c>
      <c r="K9" s="10" t="n">
        <f aca="false">I9*J9</f>
        <v>22</v>
      </c>
      <c r="L9" s="6" t="s">
        <v>64</v>
      </c>
      <c r="M9" s="6" t="s">
        <v>65</v>
      </c>
      <c r="N9" s="6" t="s">
        <v>66</v>
      </c>
      <c r="O9" s="6" t="s">
        <v>67</v>
      </c>
    </row>
    <row r="10" customFormat="false" ht="42" hidden="false" customHeight="true" outlineLevel="0" collapsed="false">
      <c r="A10" s="4" t="n">
        <v>7</v>
      </c>
      <c r="B10" s="5" t="s">
        <v>17</v>
      </c>
      <c r="C10" s="6" t="s">
        <v>68</v>
      </c>
      <c r="D10" s="6" t="s">
        <v>69</v>
      </c>
      <c r="E10" s="6" t="s">
        <v>70</v>
      </c>
      <c r="F10" s="6" t="s">
        <v>54</v>
      </c>
      <c r="G10" s="6" t="s">
        <v>71</v>
      </c>
      <c r="H10" s="7" t="s">
        <v>23</v>
      </c>
      <c r="I10" s="8" t="n">
        <v>1</v>
      </c>
      <c r="J10" s="9" t="n">
        <v>320</v>
      </c>
      <c r="K10" s="10" t="n">
        <f aca="false">I10*J10</f>
        <v>320</v>
      </c>
      <c r="L10" s="6" t="s">
        <v>72</v>
      </c>
      <c r="M10" s="6" t="s">
        <v>73</v>
      </c>
      <c r="N10" s="6" t="s">
        <v>74</v>
      </c>
      <c r="O10" s="6" t="s">
        <v>75</v>
      </c>
    </row>
    <row r="11" customFormat="false" ht="42" hidden="false" customHeight="true" outlineLevel="0" collapsed="false">
      <c r="A11" s="4" t="n">
        <v>8</v>
      </c>
      <c r="B11" s="5" t="s">
        <v>17</v>
      </c>
      <c r="C11" s="6" t="s">
        <v>76</v>
      </c>
      <c r="D11" s="6" t="s">
        <v>77</v>
      </c>
      <c r="E11" s="6" t="s">
        <v>78</v>
      </c>
      <c r="F11" s="6" t="s">
        <v>54</v>
      </c>
      <c r="G11" s="6" t="s">
        <v>79</v>
      </c>
      <c r="H11" s="7" t="s">
        <v>23</v>
      </c>
      <c r="I11" s="8" t="n">
        <v>1</v>
      </c>
      <c r="J11" s="9" t="n">
        <v>118</v>
      </c>
      <c r="K11" s="10" t="n">
        <f aca="false">I11*J11</f>
        <v>118</v>
      </c>
      <c r="L11" s="6" t="s">
        <v>80</v>
      </c>
      <c r="M11" s="6" t="s">
        <v>81</v>
      </c>
      <c r="N11" s="6" t="s">
        <v>82</v>
      </c>
      <c r="O11" s="6" t="s">
        <v>83</v>
      </c>
    </row>
    <row r="12" customFormat="false" ht="42" hidden="false" customHeight="true" outlineLevel="0" collapsed="false">
      <c r="A12" s="4" t="n">
        <v>9</v>
      </c>
      <c r="B12" s="5" t="s">
        <v>17</v>
      </c>
      <c r="C12" s="6" t="s">
        <v>84</v>
      </c>
      <c r="D12" s="6" t="s">
        <v>85</v>
      </c>
      <c r="E12" s="6" t="s">
        <v>86</v>
      </c>
      <c r="F12" s="6" t="s">
        <v>30</v>
      </c>
      <c r="G12" s="6" t="s">
        <v>87</v>
      </c>
      <c r="H12" s="7" t="s">
        <v>23</v>
      </c>
      <c r="I12" s="8" t="n">
        <v>1</v>
      </c>
      <c r="J12" s="9" t="n">
        <v>78</v>
      </c>
      <c r="K12" s="10" t="n">
        <f aca="false">I12*J12</f>
        <v>78</v>
      </c>
      <c r="L12" s="6" t="s">
        <v>88</v>
      </c>
      <c r="M12" s="6" t="s">
        <v>89</v>
      </c>
      <c r="N12" s="6" t="s">
        <v>90</v>
      </c>
      <c r="O12" s="6" t="s">
        <v>91</v>
      </c>
    </row>
    <row r="13" customFormat="false" ht="42" hidden="false" customHeight="true" outlineLevel="0" collapsed="false">
      <c r="A13" s="4" t="n">
        <v>10</v>
      </c>
      <c r="B13" s="5" t="s">
        <v>17</v>
      </c>
      <c r="C13" s="6" t="s">
        <v>92</v>
      </c>
      <c r="D13" s="6" t="s">
        <v>93</v>
      </c>
      <c r="E13" s="6" t="s">
        <v>94</v>
      </c>
      <c r="F13" s="6" t="s">
        <v>30</v>
      </c>
      <c r="G13" s="6" t="s">
        <v>87</v>
      </c>
      <c r="H13" s="7" t="s">
        <v>23</v>
      </c>
      <c r="I13" s="8" t="n">
        <v>1</v>
      </c>
      <c r="J13" s="9" t="n">
        <v>145</v>
      </c>
      <c r="K13" s="10" t="n">
        <f aca="false">I13*J13</f>
        <v>145</v>
      </c>
      <c r="L13" s="6" t="s">
        <v>88</v>
      </c>
      <c r="M13" s="6" t="s">
        <v>95</v>
      </c>
      <c r="N13" s="6" t="s">
        <v>96</v>
      </c>
      <c r="O13" s="6" t="s">
        <v>97</v>
      </c>
    </row>
    <row r="14" customFormat="false" ht="42" hidden="false" customHeight="true" outlineLevel="0" collapsed="false">
      <c r="A14" s="4" t="n">
        <v>11</v>
      </c>
      <c r="B14" s="5" t="s">
        <v>17</v>
      </c>
      <c r="C14" s="6" t="s">
        <v>98</v>
      </c>
      <c r="D14" s="6" t="s">
        <v>99</v>
      </c>
      <c r="E14" s="6" t="s">
        <v>100</v>
      </c>
      <c r="F14" s="6" t="s">
        <v>30</v>
      </c>
      <c r="G14" s="6" t="s">
        <v>101</v>
      </c>
      <c r="H14" s="11" t="s">
        <v>102</v>
      </c>
      <c r="I14" s="8" t="n">
        <v>1</v>
      </c>
      <c r="J14" s="9" t="n">
        <v>210</v>
      </c>
      <c r="K14" s="10" t="n">
        <f aca="false">I14*J14</f>
        <v>210</v>
      </c>
      <c r="L14" s="6" t="s">
        <v>24</v>
      </c>
      <c r="M14" s="6" t="s">
        <v>103</v>
      </c>
      <c r="N14" s="6" t="s">
        <v>104</v>
      </c>
      <c r="O14" s="6" t="s">
        <v>105</v>
      </c>
    </row>
    <row r="15" customFormat="false" ht="42" hidden="false" customHeight="true" outlineLevel="0" collapsed="false">
      <c r="A15" s="12" t="n">
        <v>12</v>
      </c>
      <c r="B15" s="13" t="s">
        <v>106</v>
      </c>
      <c r="C15" s="14" t="s">
        <v>107</v>
      </c>
      <c r="D15" s="14" t="s">
        <v>108</v>
      </c>
      <c r="E15" s="14" t="s">
        <v>109</v>
      </c>
      <c r="F15" s="14" t="s">
        <v>110</v>
      </c>
      <c r="G15" s="14" t="s">
        <v>111</v>
      </c>
      <c r="H15" s="7" t="s">
        <v>23</v>
      </c>
      <c r="I15" s="15" t="n">
        <v>1</v>
      </c>
      <c r="J15" s="16" t="n">
        <v>165</v>
      </c>
      <c r="K15" s="17" t="n">
        <f aca="false">I15*J15</f>
        <v>165</v>
      </c>
      <c r="L15" s="14" t="s">
        <v>112</v>
      </c>
      <c r="M15" s="14" t="s">
        <v>113</v>
      </c>
      <c r="N15" s="14" t="s">
        <v>114</v>
      </c>
      <c r="O15" s="14" t="s">
        <v>115</v>
      </c>
    </row>
    <row r="16" customFormat="false" ht="42" hidden="false" customHeight="true" outlineLevel="0" collapsed="false">
      <c r="A16" s="12" t="n">
        <v>13</v>
      </c>
      <c r="B16" s="13" t="s">
        <v>106</v>
      </c>
      <c r="C16" s="14" t="s">
        <v>116</v>
      </c>
      <c r="D16" s="14" t="s">
        <v>85</v>
      </c>
      <c r="E16" s="14" t="s">
        <v>117</v>
      </c>
      <c r="F16" s="14" t="s">
        <v>54</v>
      </c>
      <c r="G16" s="14" t="s">
        <v>118</v>
      </c>
      <c r="H16" s="7" t="s">
        <v>23</v>
      </c>
      <c r="I16" s="15" t="n">
        <v>1</v>
      </c>
      <c r="J16" s="16" t="n">
        <v>42</v>
      </c>
      <c r="K16" s="17" t="n">
        <f aca="false">I16*J16</f>
        <v>42</v>
      </c>
      <c r="L16" s="14" t="s">
        <v>112</v>
      </c>
      <c r="M16" s="14" t="s">
        <v>119</v>
      </c>
      <c r="N16" s="14" t="s">
        <v>90</v>
      </c>
      <c r="O16" s="14" t="s">
        <v>120</v>
      </c>
    </row>
    <row r="17" customFormat="false" ht="42" hidden="false" customHeight="true" outlineLevel="0" collapsed="false">
      <c r="A17" s="12" t="n">
        <v>14</v>
      </c>
      <c r="B17" s="13" t="s">
        <v>106</v>
      </c>
      <c r="C17" s="14" t="s">
        <v>121</v>
      </c>
      <c r="D17" s="14" t="s">
        <v>93</v>
      </c>
      <c r="E17" s="14" t="s">
        <v>122</v>
      </c>
      <c r="F17" s="14" t="s">
        <v>54</v>
      </c>
      <c r="G17" s="14" t="s">
        <v>123</v>
      </c>
      <c r="H17" s="7" t="s">
        <v>23</v>
      </c>
      <c r="I17" s="15" t="n">
        <v>1</v>
      </c>
      <c r="J17" s="16" t="n">
        <v>68</v>
      </c>
      <c r="K17" s="17" t="n">
        <f aca="false">I17*J17</f>
        <v>68</v>
      </c>
      <c r="L17" s="14" t="s">
        <v>112</v>
      </c>
      <c r="M17" s="14" t="s">
        <v>124</v>
      </c>
      <c r="N17" s="14" t="s">
        <v>96</v>
      </c>
      <c r="O17" s="14" t="s">
        <v>125</v>
      </c>
    </row>
    <row r="18" customFormat="false" ht="42" hidden="false" customHeight="true" outlineLevel="0" collapsed="false">
      <c r="A18" s="12" t="n">
        <v>15</v>
      </c>
      <c r="B18" s="13" t="s">
        <v>106</v>
      </c>
      <c r="C18" s="14" t="s">
        <v>126</v>
      </c>
      <c r="D18" s="14" t="s">
        <v>127</v>
      </c>
      <c r="E18" s="14" t="s">
        <v>128</v>
      </c>
      <c r="F18" s="14" t="s">
        <v>129</v>
      </c>
      <c r="G18" s="14" t="s">
        <v>123</v>
      </c>
      <c r="H18" s="7" t="s">
        <v>23</v>
      </c>
      <c r="I18" s="15" t="n">
        <v>1</v>
      </c>
      <c r="J18" s="16" t="n">
        <v>95</v>
      </c>
      <c r="K18" s="17" t="n">
        <f aca="false">I18*J18</f>
        <v>95</v>
      </c>
      <c r="L18" s="14" t="s">
        <v>130</v>
      </c>
      <c r="M18" s="14" t="s">
        <v>131</v>
      </c>
      <c r="N18" s="14" t="s">
        <v>132</v>
      </c>
      <c r="O18" s="14" t="s">
        <v>133</v>
      </c>
    </row>
    <row r="19" customFormat="false" ht="42" hidden="false" customHeight="true" outlineLevel="0" collapsed="false">
      <c r="A19" s="12" t="n">
        <v>16</v>
      </c>
      <c r="B19" s="13" t="s">
        <v>106</v>
      </c>
      <c r="C19" s="14" t="s">
        <v>134</v>
      </c>
      <c r="D19" s="14" t="s">
        <v>135</v>
      </c>
      <c r="E19" s="14" t="s">
        <v>136</v>
      </c>
      <c r="F19" s="14" t="s">
        <v>54</v>
      </c>
      <c r="G19" s="14" t="s">
        <v>123</v>
      </c>
      <c r="H19" s="7" t="s">
        <v>23</v>
      </c>
      <c r="I19" s="15" t="n">
        <v>1</v>
      </c>
      <c r="J19" s="16" t="n">
        <v>14</v>
      </c>
      <c r="K19" s="17" t="n">
        <f aca="false">I19*J19</f>
        <v>14</v>
      </c>
      <c r="L19" s="14" t="s">
        <v>137</v>
      </c>
      <c r="M19" s="14" t="s">
        <v>138</v>
      </c>
      <c r="N19" s="14" t="s">
        <v>139</v>
      </c>
      <c r="O19" s="14" t="s">
        <v>140</v>
      </c>
    </row>
    <row r="20" customFormat="false" ht="42" hidden="false" customHeight="true" outlineLevel="0" collapsed="false">
      <c r="A20" s="12" t="n">
        <v>17</v>
      </c>
      <c r="B20" s="13" t="s">
        <v>106</v>
      </c>
      <c r="C20" s="14" t="s">
        <v>141</v>
      </c>
      <c r="D20" s="14" t="s">
        <v>135</v>
      </c>
      <c r="E20" s="14" t="s">
        <v>142</v>
      </c>
      <c r="F20" s="14" t="s">
        <v>54</v>
      </c>
      <c r="G20" s="14" t="s">
        <v>123</v>
      </c>
      <c r="H20" s="11" t="s">
        <v>102</v>
      </c>
      <c r="I20" s="15" t="n">
        <v>1</v>
      </c>
      <c r="J20" s="16" t="n">
        <v>22</v>
      </c>
      <c r="K20" s="17" t="n">
        <f aca="false">I20*J20</f>
        <v>22</v>
      </c>
      <c r="L20" s="14" t="s">
        <v>137</v>
      </c>
      <c r="M20" s="14" t="s">
        <v>138</v>
      </c>
      <c r="N20" s="14" t="s">
        <v>139</v>
      </c>
      <c r="O20" s="14" t="s">
        <v>143</v>
      </c>
    </row>
    <row r="21" customFormat="false" ht="42" hidden="false" customHeight="true" outlineLevel="0" collapsed="false">
      <c r="A21" s="12" t="n">
        <v>18</v>
      </c>
      <c r="B21" s="13" t="s">
        <v>106</v>
      </c>
      <c r="C21" s="14" t="s">
        <v>144</v>
      </c>
      <c r="D21" s="14" t="s">
        <v>145</v>
      </c>
      <c r="E21" s="14" t="s">
        <v>146</v>
      </c>
      <c r="F21" s="14" t="s">
        <v>54</v>
      </c>
      <c r="G21" s="14" t="s">
        <v>123</v>
      </c>
      <c r="H21" s="7" t="s">
        <v>23</v>
      </c>
      <c r="I21" s="15" t="n">
        <v>1</v>
      </c>
      <c r="J21" s="16" t="n">
        <v>18</v>
      </c>
      <c r="K21" s="17" t="n">
        <f aca="false">I21*J21</f>
        <v>18</v>
      </c>
      <c r="L21" s="14" t="s">
        <v>137</v>
      </c>
      <c r="M21" s="14" t="s">
        <v>147</v>
      </c>
      <c r="N21" s="14" t="s">
        <v>148</v>
      </c>
      <c r="O21" s="14" t="s">
        <v>149</v>
      </c>
    </row>
    <row r="22" customFormat="false" ht="42" hidden="false" customHeight="true" outlineLevel="0" collapsed="false">
      <c r="A22" s="12" t="n">
        <v>19</v>
      </c>
      <c r="B22" s="13" t="s">
        <v>106</v>
      </c>
      <c r="C22" s="14" t="s">
        <v>150</v>
      </c>
      <c r="D22" s="14" t="s">
        <v>151</v>
      </c>
      <c r="E22" s="14" t="s">
        <v>152</v>
      </c>
      <c r="F22" s="14" t="s">
        <v>54</v>
      </c>
      <c r="G22" s="14" t="s">
        <v>123</v>
      </c>
      <c r="H22" s="7" t="s">
        <v>23</v>
      </c>
      <c r="I22" s="15" t="n">
        <v>3</v>
      </c>
      <c r="J22" s="16" t="n">
        <v>5.5</v>
      </c>
      <c r="K22" s="17" t="n">
        <f aca="false">I22*J22</f>
        <v>16.5</v>
      </c>
      <c r="L22" s="14" t="s">
        <v>153</v>
      </c>
      <c r="M22" s="14" t="s">
        <v>154</v>
      </c>
      <c r="N22" s="14" t="s">
        <v>155</v>
      </c>
      <c r="O22" s="14" t="s">
        <v>156</v>
      </c>
    </row>
    <row r="23" customFormat="false" ht="42" hidden="false" customHeight="true" outlineLevel="0" collapsed="false">
      <c r="A23" s="12" t="n">
        <v>20</v>
      </c>
      <c r="B23" s="13" t="s">
        <v>106</v>
      </c>
      <c r="C23" s="14" t="s">
        <v>157</v>
      </c>
      <c r="D23" s="14" t="s">
        <v>158</v>
      </c>
      <c r="E23" s="14" t="s">
        <v>159</v>
      </c>
      <c r="F23" s="14" t="s">
        <v>54</v>
      </c>
      <c r="G23" s="14" t="s">
        <v>160</v>
      </c>
      <c r="H23" s="7" t="s">
        <v>23</v>
      </c>
      <c r="I23" s="15" t="n">
        <v>1</v>
      </c>
      <c r="J23" s="16" t="n">
        <v>55</v>
      </c>
      <c r="K23" s="17" t="n">
        <f aca="false">I23*J23</f>
        <v>55</v>
      </c>
      <c r="L23" s="14" t="s">
        <v>80</v>
      </c>
      <c r="M23" s="14" t="s">
        <v>161</v>
      </c>
      <c r="N23" s="14" t="s">
        <v>162</v>
      </c>
      <c r="O23" s="14" t="s">
        <v>163</v>
      </c>
    </row>
    <row r="24" customFormat="false" ht="42" hidden="false" customHeight="true" outlineLevel="0" collapsed="false">
      <c r="A24" s="18" t="n">
        <v>21</v>
      </c>
      <c r="B24" s="19" t="s">
        <v>164</v>
      </c>
      <c r="C24" s="20" t="s">
        <v>165</v>
      </c>
      <c r="D24" s="20" t="s">
        <v>19</v>
      </c>
      <c r="E24" s="20" t="s">
        <v>166</v>
      </c>
      <c r="F24" s="20" t="s">
        <v>167</v>
      </c>
      <c r="G24" s="20" t="s">
        <v>168</v>
      </c>
      <c r="H24" s="7" t="s">
        <v>23</v>
      </c>
      <c r="I24" s="21" t="n">
        <v>1</v>
      </c>
      <c r="J24" s="22" t="n">
        <v>310</v>
      </c>
      <c r="K24" s="23" t="n">
        <f aca="false">I24*J24</f>
        <v>310</v>
      </c>
      <c r="L24" s="20" t="s">
        <v>24</v>
      </c>
      <c r="M24" s="20" t="s">
        <v>169</v>
      </c>
      <c r="N24" s="20" t="s">
        <v>26</v>
      </c>
      <c r="O24" s="20" t="s">
        <v>170</v>
      </c>
    </row>
    <row r="25" customFormat="false" ht="42" hidden="false" customHeight="true" outlineLevel="0" collapsed="false">
      <c r="A25" s="18" t="n">
        <v>22</v>
      </c>
      <c r="B25" s="19" t="s">
        <v>164</v>
      </c>
      <c r="C25" s="20" t="s">
        <v>171</v>
      </c>
      <c r="D25" s="20" t="s">
        <v>19</v>
      </c>
      <c r="E25" s="20" t="s">
        <v>172</v>
      </c>
      <c r="F25" s="20" t="s">
        <v>173</v>
      </c>
      <c r="G25" s="20" t="s">
        <v>174</v>
      </c>
      <c r="H25" s="7" t="s">
        <v>23</v>
      </c>
      <c r="I25" s="21" t="n">
        <v>1</v>
      </c>
      <c r="J25" s="22" t="n">
        <v>580</v>
      </c>
      <c r="K25" s="23" t="n">
        <f aca="false">I25*J25</f>
        <v>580</v>
      </c>
      <c r="L25" s="20" t="s">
        <v>24</v>
      </c>
      <c r="M25" s="20" t="s">
        <v>175</v>
      </c>
      <c r="N25" s="20" t="s">
        <v>34</v>
      </c>
      <c r="O25" s="20" t="s">
        <v>176</v>
      </c>
    </row>
    <row r="26" customFormat="false" ht="42" hidden="false" customHeight="true" outlineLevel="0" collapsed="false">
      <c r="A26" s="18" t="n">
        <v>23</v>
      </c>
      <c r="B26" s="19" t="s">
        <v>164</v>
      </c>
      <c r="C26" s="20" t="s">
        <v>177</v>
      </c>
      <c r="D26" s="20" t="s">
        <v>178</v>
      </c>
      <c r="E26" s="20" t="s">
        <v>179</v>
      </c>
      <c r="F26" s="20" t="s">
        <v>173</v>
      </c>
      <c r="G26" s="20" t="s">
        <v>180</v>
      </c>
      <c r="H26" s="11" t="s">
        <v>102</v>
      </c>
      <c r="I26" s="21" t="n">
        <v>1</v>
      </c>
      <c r="J26" s="22" t="n">
        <v>420</v>
      </c>
      <c r="K26" s="23" t="n">
        <f aca="false">I26*J26</f>
        <v>420</v>
      </c>
      <c r="L26" s="20" t="s">
        <v>24</v>
      </c>
      <c r="M26" s="20" t="s">
        <v>181</v>
      </c>
      <c r="N26" s="20" t="s">
        <v>182</v>
      </c>
      <c r="O26" s="20" t="s">
        <v>183</v>
      </c>
    </row>
    <row r="27" customFormat="false" ht="42" hidden="false" customHeight="true" outlineLevel="0" collapsed="false">
      <c r="A27" s="18" t="n">
        <v>24</v>
      </c>
      <c r="B27" s="19" t="s">
        <v>164</v>
      </c>
      <c r="C27" s="20" t="s">
        <v>184</v>
      </c>
      <c r="D27" s="20" t="s">
        <v>19</v>
      </c>
      <c r="E27" s="20" t="s">
        <v>185</v>
      </c>
      <c r="F27" s="20" t="s">
        <v>186</v>
      </c>
      <c r="G27" s="20" t="s">
        <v>187</v>
      </c>
      <c r="H27" s="7" t="s">
        <v>23</v>
      </c>
      <c r="I27" s="21" t="n">
        <v>1</v>
      </c>
      <c r="J27" s="22" t="n">
        <v>430</v>
      </c>
      <c r="K27" s="23" t="n">
        <f aca="false">I27*J27</f>
        <v>430</v>
      </c>
      <c r="L27" s="20" t="s">
        <v>24</v>
      </c>
      <c r="M27" s="20" t="s">
        <v>188</v>
      </c>
      <c r="N27" s="20" t="s">
        <v>34</v>
      </c>
      <c r="O27" s="20" t="s">
        <v>189</v>
      </c>
    </row>
    <row r="28" customFormat="false" ht="42" hidden="false" customHeight="true" outlineLevel="0" collapsed="false">
      <c r="A28" s="18" t="n">
        <v>25</v>
      </c>
      <c r="B28" s="19" t="s">
        <v>164</v>
      </c>
      <c r="C28" s="20" t="s">
        <v>190</v>
      </c>
      <c r="D28" s="20" t="s">
        <v>37</v>
      </c>
      <c r="E28" s="20" t="s">
        <v>191</v>
      </c>
      <c r="F28" s="20" t="s">
        <v>173</v>
      </c>
      <c r="G28" s="20" t="s">
        <v>192</v>
      </c>
      <c r="H28" s="7" t="s">
        <v>23</v>
      </c>
      <c r="I28" s="21" t="n">
        <v>1</v>
      </c>
      <c r="J28" s="22" t="n">
        <v>75</v>
      </c>
      <c r="K28" s="23" t="n">
        <f aca="false">I28*J28</f>
        <v>75</v>
      </c>
      <c r="L28" s="20" t="s">
        <v>32</v>
      </c>
      <c r="M28" s="20" t="s">
        <v>193</v>
      </c>
      <c r="N28" s="20" t="s">
        <v>41</v>
      </c>
      <c r="O28" s="20" t="s">
        <v>194</v>
      </c>
    </row>
    <row r="29" customFormat="false" ht="42" hidden="false" customHeight="true" outlineLevel="0" collapsed="false">
      <c r="A29" s="18" t="n">
        <v>26</v>
      </c>
      <c r="B29" s="19" t="s">
        <v>164</v>
      </c>
      <c r="C29" s="20" t="s">
        <v>195</v>
      </c>
      <c r="D29" s="20" t="s">
        <v>178</v>
      </c>
      <c r="E29" s="20" t="s">
        <v>196</v>
      </c>
      <c r="F29" s="20" t="s">
        <v>197</v>
      </c>
      <c r="G29" s="20" t="s">
        <v>198</v>
      </c>
      <c r="H29" s="11" t="s">
        <v>102</v>
      </c>
      <c r="I29" s="21" t="n">
        <v>1</v>
      </c>
      <c r="J29" s="22" t="n">
        <v>95</v>
      </c>
      <c r="K29" s="23" t="n">
        <f aca="false">I29*J29</f>
        <v>95</v>
      </c>
      <c r="L29" s="20" t="s">
        <v>32</v>
      </c>
      <c r="M29" s="20" t="s">
        <v>199</v>
      </c>
      <c r="N29" s="20" t="s">
        <v>200</v>
      </c>
      <c r="O29" s="20" t="s">
        <v>201</v>
      </c>
    </row>
    <row r="30" customFormat="false" ht="42" hidden="false" customHeight="true" outlineLevel="0" collapsed="false">
      <c r="A30" s="18" t="n">
        <v>27</v>
      </c>
      <c r="B30" s="19" t="s">
        <v>164</v>
      </c>
      <c r="C30" s="20" t="s">
        <v>202</v>
      </c>
      <c r="D30" s="20" t="s">
        <v>19</v>
      </c>
      <c r="E30" s="20" t="s">
        <v>203</v>
      </c>
      <c r="F30" s="20" t="s">
        <v>54</v>
      </c>
      <c r="G30" s="20" t="s">
        <v>204</v>
      </c>
      <c r="H30" s="11" t="s">
        <v>102</v>
      </c>
      <c r="I30" s="21" t="n">
        <v>1</v>
      </c>
      <c r="J30" s="22" t="n">
        <v>115</v>
      </c>
      <c r="K30" s="23" t="n">
        <f aca="false">I30*J30</f>
        <v>115</v>
      </c>
      <c r="L30" s="20" t="s">
        <v>32</v>
      </c>
      <c r="M30" s="20" t="s">
        <v>205</v>
      </c>
      <c r="N30" s="20" t="s">
        <v>206</v>
      </c>
      <c r="O30" s="20" t="s">
        <v>207</v>
      </c>
    </row>
    <row r="31" customFormat="false" ht="42" hidden="false" customHeight="true" outlineLevel="0" collapsed="false">
      <c r="A31" s="12" t="n">
        <v>28</v>
      </c>
      <c r="B31" s="13" t="s">
        <v>106</v>
      </c>
      <c r="C31" s="14" t="s">
        <v>208</v>
      </c>
      <c r="D31" s="14" t="s">
        <v>127</v>
      </c>
      <c r="E31" s="14" t="s">
        <v>209</v>
      </c>
      <c r="F31" s="14" t="s">
        <v>54</v>
      </c>
      <c r="G31" s="14" t="s">
        <v>210</v>
      </c>
      <c r="H31" s="7" t="s">
        <v>23</v>
      </c>
      <c r="I31" s="15" t="n">
        <v>1</v>
      </c>
      <c r="J31" s="16" t="n">
        <v>175</v>
      </c>
      <c r="K31" s="17" t="n">
        <f aca="false">I31*J31</f>
        <v>175</v>
      </c>
      <c r="L31" s="14" t="s">
        <v>130</v>
      </c>
      <c r="M31" s="14" t="s">
        <v>211</v>
      </c>
      <c r="N31" s="14" t="s">
        <v>132</v>
      </c>
      <c r="O31" s="14" t="s">
        <v>212</v>
      </c>
    </row>
    <row r="32" customFormat="false" ht="42" hidden="false" customHeight="true" outlineLevel="0" collapsed="false">
      <c r="A32" s="24" t="n">
        <v>29</v>
      </c>
      <c r="B32" s="25" t="s">
        <v>213</v>
      </c>
      <c r="C32" s="26" t="s">
        <v>214</v>
      </c>
      <c r="D32" s="26" t="s">
        <v>215</v>
      </c>
      <c r="E32" s="26" t="s">
        <v>216</v>
      </c>
      <c r="F32" s="26" t="s">
        <v>21</v>
      </c>
      <c r="G32" s="26" t="s">
        <v>217</v>
      </c>
      <c r="H32" s="7" t="s">
        <v>23</v>
      </c>
      <c r="I32" s="27" t="n">
        <v>1</v>
      </c>
      <c r="J32" s="28" t="n">
        <v>185</v>
      </c>
      <c r="K32" s="29" t="n">
        <f aca="false">I32*J32</f>
        <v>185</v>
      </c>
      <c r="L32" s="26" t="s">
        <v>218</v>
      </c>
      <c r="M32" s="26" t="s">
        <v>219</v>
      </c>
      <c r="N32" s="26" t="s">
        <v>220</v>
      </c>
      <c r="O32" s="26" t="s">
        <v>221</v>
      </c>
    </row>
    <row r="33" customFormat="false" ht="42" hidden="false" customHeight="true" outlineLevel="0" collapsed="false">
      <c r="A33" s="24" t="n">
        <v>30</v>
      </c>
      <c r="B33" s="25" t="s">
        <v>213</v>
      </c>
      <c r="C33" s="26" t="s">
        <v>222</v>
      </c>
      <c r="D33" s="26" t="s">
        <v>223</v>
      </c>
      <c r="E33" s="26" t="s">
        <v>224</v>
      </c>
      <c r="F33" s="26" t="s">
        <v>225</v>
      </c>
      <c r="G33" s="26" t="s">
        <v>123</v>
      </c>
      <c r="H33" s="7" t="s">
        <v>23</v>
      </c>
      <c r="I33" s="27" t="n">
        <v>1</v>
      </c>
      <c r="J33" s="28" t="n">
        <v>42</v>
      </c>
      <c r="K33" s="29" t="n">
        <f aca="false">I33*J33</f>
        <v>42</v>
      </c>
      <c r="L33" s="26" t="s">
        <v>112</v>
      </c>
      <c r="M33" s="26" t="s">
        <v>226</v>
      </c>
      <c r="N33" s="26" t="s">
        <v>155</v>
      </c>
      <c r="O33" s="26" t="s">
        <v>227</v>
      </c>
    </row>
    <row r="34" customFormat="false" ht="42" hidden="false" customHeight="true" outlineLevel="0" collapsed="false">
      <c r="A34" s="24" t="n">
        <v>31</v>
      </c>
      <c r="B34" s="25" t="s">
        <v>213</v>
      </c>
      <c r="C34" s="26" t="s">
        <v>228</v>
      </c>
      <c r="D34" s="26" t="s">
        <v>223</v>
      </c>
      <c r="E34" s="26" t="s">
        <v>229</v>
      </c>
      <c r="F34" s="26" t="s">
        <v>230</v>
      </c>
      <c r="G34" s="26" t="s">
        <v>123</v>
      </c>
      <c r="H34" s="7" t="s">
        <v>23</v>
      </c>
      <c r="I34" s="27" t="n">
        <v>1</v>
      </c>
      <c r="J34" s="28" t="n">
        <v>32</v>
      </c>
      <c r="K34" s="29" t="n">
        <f aca="false">I34*J34</f>
        <v>32</v>
      </c>
      <c r="L34" s="26" t="s">
        <v>112</v>
      </c>
      <c r="M34" s="26" t="s">
        <v>231</v>
      </c>
      <c r="N34" s="26" t="s">
        <v>58</v>
      </c>
      <c r="O34" s="26" t="s">
        <v>232</v>
      </c>
    </row>
    <row r="35" customFormat="false" ht="42" hidden="false" customHeight="true" outlineLevel="0" collapsed="false">
      <c r="A35" s="24" t="n">
        <v>32</v>
      </c>
      <c r="B35" s="25" t="s">
        <v>213</v>
      </c>
      <c r="C35" s="26" t="s">
        <v>233</v>
      </c>
      <c r="D35" s="26" t="s">
        <v>234</v>
      </c>
      <c r="E35" s="26" t="s">
        <v>235</v>
      </c>
      <c r="F35" s="26" t="s">
        <v>54</v>
      </c>
      <c r="G35" s="26" t="s">
        <v>123</v>
      </c>
      <c r="H35" s="11" t="s">
        <v>102</v>
      </c>
      <c r="I35" s="27" t="n">
        <v>1</v>
      </c>
      <c r="J35" s="28" t="n">
        <v>68</v>
      </c>
      <c r="K35" s="29" t="n">
        <f aca="false">I35*J35</f>
        <v>68</v>
      </c>
      <c r="L35" s="26" t="s">
        <v>236</v>
      </c>
      <c r="M35" s="26" t="s">
        <v>237</v>
      </c>
      <c r="N35" s="26" t="s">
        <v>238</v>
      </c>
      <c r="O35" s="26" t="s">
        <v>239</v>
      </c>
    </row>
    <row r="36" customFormat="false" ht="42" hidden="false" customHeight="true" outlineLevel="0" collapsed="false">
      <c r="A36" s="24" t="n">
        <v>33</v>
      </c>
      <c r="B36" s="25" t="s">
        <v>213</v>
      </c>
      <c r="C36" s="26" t="s">
        <v>240</v>
      </c>
      <c r="D36" s="26" t="s">
        <v>241</v>
      </c>
      <c r="E36" s="26" t="s">
        <v>242</v>
      </c>
      <c r="F36" s="26" t="s">
        <v>225</v>
      </c>
      <c r="G36" s="26" t="s">
        <v>243</v>
      </c>
      <c r="H36" s="7" t="s">
        <v>23</v>
      </c>
      <c r="I36" s="27" t="n">
        <v>2</v>
      </c>
      <c r="J36" s="28" t="n">
        <v>12</v>
      </c>
      <c r="K36" s="29" t="n">
        <f aca="false">I36*J36</f>
        <v>24</v>
      </c>
      <c r="L36" s="26" t="s">
        <v>244</v>
      </c>
      <c r="M36" s="26" t="s">
        <v>245</v>
      </c>
      <c r="N36" s="26" t="s">
        <v>246</v>
      </c>
      <c r="O36" s="26" t="s">
        <v>247</v>
      </c>
    </row>
    <row r="37" customFormat="false" ht="42" hidden="false" customHeight="true" outlineLevel="0" collapsed="false">
      <c r="A37" s="30" t="n">
        <v>34</v>
      </c>
      <c r="B37" s="31" t="s">
        <v>248</v>
      </c>
      <c r="C37" s="32" t="s">
        <v>249</v>
      </c>
      <c r="D37" s="32" t="s">
        <v>250</v>
      </c>
      <c r="E37" s="32" t="s">
        <v>251</v>
      </c>
      <c r="F37" s="32" t="s">
        <v>54</v>
      </c>
      <c r="G37" s="32" t="s">
        <v>252</v>
      </c>
      <c r="H37" s="7" t="s">
        <v>23</v>
      </c>
      <c r="I37" s="33" t="n">
        <v>1</v>
      </c>
      <c r="J37" s="34" t="n">
        <v>58</v>
      </c>
      <c r="K37" s="35" t="n">
        <f aca="false">I37*J37</f>
        <v>58</v>
      </c>
      <c r="L37" s="32" t="s">
        <v>253</v>
      </c>
      <c r="M37" s="32" t="s">
        <v>254</v>
      </c>
      <c r="N37" s="32" t="s">
        <v>255</v>
      </c>
      <c r="O37" s="32" t="s">
        <v>256</v>
      </c>
    </row>
    <row r="38" customFormat="false" ht="42" hidden="false" customHeight="true" outlineLevel="0" collapsed="false">
      <c r="A38" s="30" t="n">
        <v>35</v>
      </c>
      <c r="B38" s="31" t="s">
        <v>248</v>
      </c>
      <c r="C38" s="32" t="s">
        <v>257</v>
      </c>
      <c r="D38" s="32" t="s">
        <v>258</v>
      </c>
      <c r="E38" s="32" t="s">
        <v>259</v>
      </c>
      <c r="F38" s="32" t="s">
        <v>54</v>
      </c>
      <c r="G38" s="32" t="s">
        <v>260</v>
      </c>
      <c r="H38" s="7" t="s">
        <v>23</v>
      </c>
      <c r="I38" s="33" t="n">
        <v>2</v>
      </c>
      <c r="J38" s="34" t="n">
        <v>16</v>
      </c>
      <c r="K38" s="35" t="n">
        <f aca="false">I38*J38</f>
        <v>32</v>
      </c>
      <c r="L38" s="32" t="s">
        <v>261</v>
      </c>
      <c r="M38" s="32" t="s">
        <v>262</v>
      </c>
      <c r="N38" s="32" t="s">
        <v>66</v>
      </c>
      <c r="O38" s="32" t="s">
        <v>263</v>
      </c>
    </row>
    <row r="39" customFormat="false" ht="42" hidden="false" customHeight="true" outlineLevel="0" collapsed="false">
      <c r="A39" s="30" t="n">
        <v>36</v>
      </c>
      <c r="B39" s="31" t="s">
        <v>248</v>
      </c>
      <c r="C39" s="32" t="s">
        <v>264</v>
      </c>
      <c r="D39" s="32" t="s">
        <v>250</v>
      </c>
      <c r="E39" s="32" t="s">
        <v>265</v>
      </c>
      <c r="F39" s="32" t="s">
        <v>54</v>
      </c>
      <c r="G39" s="32" t="s">
        <v>266</v>
      </c>
      <c r="H39" s="7" t="s">
        <v>23</v>
      </c>
      <c r="I39" s="33" t="n">
        <v>1</v>
      </c>
      <c r="J39" s="34" t="n">
        <v>18</v>
      </c>
      <c r="K39" s="35" t="n">
        <f aca="false">I39*J39</f>
        <v>18</v>
      </c>
      <c r="L39" s="32" t="s">
        <v>244</v>
      </c>
      <c r="M39" s="32" t="s">
        <v>267</v>
      </c>
      <c r="N39" s="32" t="s">
        <v>255</v>
      </c>
      <c r="O39" s="32" t="s">
        <v>268</v>
      </c>
    </row>
    <row r="40" customFormat="false" ht="24" hidden="false" customHeight="true" outlineLevel="0" collapsed="false">
      <c r="A40" s="36" t="s">
        <v>269</v>
      </c>
      <c r="B40" s="37" t="s">
        <v>270</v>
      </c>
      <c r="C40" s="37"/>
      <c r="D40" s="37"/>
      <c r="E40" s="37"/>
      <c r="F40" s="37"/>
      <c r="G40" s="37"/>
      <c r="H40" s="37"/>
      <c r="I40" s="37"/>
      <c r="J40" s="37"/>
      <c r="K40" s="38" t="n">
        <f aca="false">SUM(K4:K39)</f>
        <v>4767.5</v>
      </c>
      <c r="L40" s="39"/>
      <c r="M40" s="39"/>
      <c r="N40" s="39"/>
      <c r="O40" s="39"/>
    </row>
  </sheetData>
  <mergeCells count="3">
    <mergeCell ref="A1:O1"/>
    <mergeCell ref="A2:O2"/>
    <mergeCell ref="B40:J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1" min="10" style="0" width="14"/>
    <col collapsed="false" customWidth="true" hidden="false" outlineLevel="0" max="12" min="12" style="0" width="18"/>
    <col collapsed="false" customWidth="true" hidden="false" outlineLevel="0" max="13" min="13" style="0" width="30"/>
    <col collapsed="false" customWidth="true" hidden="false" outlineLevel="0" max="14" min="14" style="0" width="22"/>
    <col collapsed="false" customWidth="true" hidden="false" outlineLevel="0" max="15" min="15" style="0" width="45"/>
  </cols>
  <sheetData>
    <row r="1" customFormat="false" ht="31.5" hidden="false" customHeight="true" outlineLevel="0" collapsed="false">
      <c r="A1" s="1" t="s">
        <v>271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2" t="s">
        <v>272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4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273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customFormat="false" ht="42" hidden="false" customHeight="true" outlineLevel="0" collapsed="false">
      <c r="A4" s="4" t="n">
        <v>1</v>
      </c>
      <c r="B4" s="5" t="s">
        <v>17</v>
      </c>
      <c r="C4" s="6" t="s">
        <v>274</v>
      </c>
      <c r="D4" s="6" t="s">
        <v>44</v>
      </c>
      <c r="E4" s="6" t="s">
        <v>275</v>
      </c>
      <c r="F4" s="6" t="s">
        <v>276</v>
      </c>
      <c r="G4" s="6" t="s">
        <v>277</v>
      </c>
      <c r="H4" s="7" t="s">
        <v>23</v>
      </c>
      <c r="I4" s="8" t="n">
        <v>4</v>
      </c>
      <c r="J4" s="9" t="n">
        <v>285</v>
      </c>
      <c r="K4" s="10" t="n">
        <f aca="false">I4*J4</f>
        <v>1140</v>
      </c>
      <c r="L4" s="6" t="s">
        <v>47</v>
      </c>
      <c r="M4" s="6" t="s">
        <v>48</v>
      </c>
      <c r="N4" s="6" t="s">
        <v>74</v>
      </c>
      <c r="O4" s="6" t="s">
        <v>278</v>
      </c>
    </row>
    <row r="5" customFormat="false" ht="42" hidden="false" customHeight="true" outlineLevel="0" collapsed="false">
      <c r="A5" s="4" t="n">
        <v>2</v>
      </c>
      <c r="B5" s="5" t="s">
        <v>17</v>
      </c>
      <c r="C5" s="6" t="s">
        <v>279</v>
      </c>
      <c r="D5" s="6" t="s">
        <v>44</v>
      </c>
      <c r="E5" s="6" t="s">
        <v>280</v>
      </c>
      <c r="F5" s="6" t="s">
        <v>281</v>
      </c>
      <c r="G5" s="6" t="s">
        <v>282</v>
      </c>
      <c r="H5" s="7" t="s">
        <v>23</v>
      </c>
      <c r="I5" s="8" t="n">
        <v>4</v>
      </c>
      <c r="J5" s="9" t="n">
        <v>142</v>
      </c>
      <c r="K5" s="10" t="n">
        <f aca="false">I5*J5</f>
        <v>568</v>
      </c>
      <c r="L5" s="6" t="s">
        <v>47</v>
      </c>
      <c r="M5" s="6" t="s">
        <v>48</v>
      </c>
      <c r="N5" s="6" t="s">
        <v>74</v>
      </c>
      <c r="O5" s="6" t="s">
        <v>283</v>
      </c>
    </row>
    <row r="6" customFormat="false" ht="42" hidden="false" customHeight="true" outlineLevel="0" collapsed="false">
      <c r="A6" s="4" t="n">
        <v>3</v>
      </c>
      <c r="B6" s="5" t="s">
        <v>17</v>
      </c>
      <c r="C6" s="6" t="s">
        <v>284</v>
      </c>
      <c r="D6" s="6" t="s">
        <v>285</v>
      </c>
      <c r="E6" s="6" t="s">
        <v>286</v>
      </c>
      <c r="F6" s="6" t="s">
        <v>287</v>
      </c>
      <c r="G6" s="6" t="s">
        <v>288</v>
      </c>
      <c r="H6" s="7" t="s">
        <v>23</v>
      </c>
      <c r="I6" s="8" t="n">
        <v>2</v>
      </c>
      <c r="J6" s="9" t="n">
        <v>680</v>
      </c>
      <c r="K6" s="10" t="n">
        <f aca="false">I6*J6</f>
        <v>1360</v>
      </c>
      <c r="L6" s="6" t="s">
        <v>289</v>
      </c>
      <c r="M6" s="6" t="s">
        <v>290</v>
      </c>
      <c r="N6" s="6" t="s">
        <v>291</v>
      </c>
      <c r="O6" s="6" t="s">
        <v>292</v>
      </c>
    </row>
    <row r="7" customFormat="false" ht="42" hidden="false" customHeight="true" outlineLevel="0" collapsed="false">
      <c r="A7" s="4" t="n">
        <v>4</v>
      </c>
      <c r="B7" s="5" t="s">
        <v>17</v>
      </c>
      <c r="C7" s="6" t="s">
        <v>293</v>
      </c>
      <c r="D7" s="6" t="s">
        <v>285</v>
      </c>
      <c r="E7" s="6" t="s">
        <v>294</v>
      </c>
      <c r="F7" s="6" t="s">
        <v>287</v>
      </c>
      <c r="G7" s="6" t="s">
        <v>295</v>
      </c>
      <c r="H7" s="7" t="s">
        <v>23</v>
      </c>
      <c r="I7" s="8" t="n">
        <v>2</v>
      </c>
      <c r="J7" s="9" t="n">
        <v>220</v>
      </c>
      <c r="K7" s="10" t="n">
        <f aca="false">I7*J7</f>
        <v>440</v>
      </c>
      <c r="L7" s="6" t="s">
        <v>296</v>
      </c>
      <c r="M7" s="6" t="s">
        <v>297</v>
      </c>
      <c r="N7" s="6" t="s">
        <v>291</v>
      </c>
      <c r="O7" s="6" t="s">
        <v>298</v>
      </c>
    </row>
    <row r="8" customFormat="false" ht="42" hidden="false" customHeight="true" outlineLevel="0" collapsed="false">
      <c r="A8" s="12" t="n">
        <v>5</v>
      </c>
      <c r="B8" s="13" t="s">
        <v>106</v>
      </c>
      <c r="C8" s="14" t="s">
        <v>299</v>
      </c>
      <c r="D8" s="14" t="s">
        <v>145</v>
      </c>
      <c r="E8" s="14" t="s">
        <v>300</v>
      </c>
      <c r="F8" s="14" t="s">
        <v>54</v>
      </c>
      <c r="G8" s="14" t="s">
        <v>123</v>
      </c>
      <c r="H8" s="7" t="s">
        <v>23</v>
      </c>
      <c r="I8" s="15" t="n">
        <v>1</v>
      </c>
      <c r="J8" s="16" t="n">
        <v>245</v>
      </c>
      <c r="K8" s="17" t="n">
        <f aca="false">I8*J8</f>
        <v>245</v>
      </c>
      <c r="L8" s="14" t="s">
        <v>112</v>
      </c>
      <c r="M8" s="14" t="s">
        <v>301</v>
      </c>
      <c r="N8" s="14" t="s">
        <v>302</v>
      </c>
      <c r="O8" s="14" t="s">
        <v>303</v>
      </c>
    </row>
    <row r="9" customFormat="false" ht="42" hidden="false" customHeight="true" outlineLevel="0" collapsed="false">
      <c r="A9" s="12" t="n">
        <v>6</v>
      </c>
      <c r="B9" s="13" t="s">
        <v>106</v>
      </c>
      <c r="C9" s="14" t="s">
        <v>304</v>
      </c>
      <c r="D9" s="14" t="s">
        <v>135</v>
      </c>
      <c r="E9" s="14" t="s">
        <v>305</v>
      </c>
      <c r="F9" s="14" t="s">
        <v>110</v>
      </c>
      <c r="G9" s="14" t="s">
        <v>306</v>
      </c>
      <c r="H9" s="7" t="s">
        <v>23</v>
      </c>
      <c r="I9" s="15" t="n">
        <v>1</v>
      </c>
      <c r="J9" s="16" t="n">
        <v>195</v>
      </c>
      <c r="K9" s="17" t="n">
        <f aca="false">I9*J9</f>
        <v>195</v>
      </c>
      <c r="L9" s="14" t="s">
        <v>112</v>
      </c>
      <c r="M9" s="14" t="s">
        <v>307</v>
      </c>
      <c r="N9" s="14" t="s">
        <v>308</v>
      </c>
      <c r="O9" s="14" t="s">
        <v>309</v>
      </c>
    </row>
    <row r="10" customFormat="false" ht="42" hidden="false" customHeight="true" outlineLevel="0" collapsed="false">
      <c r="A10" s="40" t="n">
        <v>7</v>
      </c>
      <c r="B10" s="41" t="s">
        <v>310</v>
      </c>
      <c r="C10" s="42" t="s">
        <v>311</v>
      </c>
      <c r="D10" s="42" t="s">
        <v>312</v>
      </c>
      <c r="E10" s="42" t="s">
        <v>313</v>
      </c>
      <c r="F10" s="42" t="s">
        <v>276</v>
      </c>
      <c r="G10" s="42" t="s">
        <v>314</v>
      </c>
      <c r="H10" s="7" t="s">
        <v>23</v>
      </c>
      <c r="I10" s="43" t="n">
        <v>2</v>
      </c>
      <c r="J10" s="44" t="n">
        <v>480</v>
      </c>
      <c r="K10" s="45" t="n">
        <f aca="false">I10*J10</f>
        <v>960</v>
      </c>
      <c r="L10" s="42" t="s">
        <v>315</v>
      </c>
      <c r="M10" s="42" t="s">
        <v>316</v>
      </c>
      <c r="N10" s="42" t="s">
        <v>317</v>
      </c>
      <c r="O10" s="42" t="s">
        <v>318</v>
      </c>
    </row>
    <row r="11" customFormat="false" ht="42" hidden="false" customHeight="true" outlineLevel="0" collapsed="false">
      <c r="A11" s="40" t="n">
        <v>8</v>
      </c>
      <c r="B11" s="41" t="s">
        <v>310</v>
      </c>
      <c r="C11" s="42" t="s">
        <v>319</v>
      </c>
      <c r="D11" s="42" t="s">
        <v>312</v>
      </c>
      <c r="E11" s="42" t="s">
        <v>320</v>
      </c>
      <c r="F11" s="42" t="s">
        <v>321</v>
      </c>
      <c r="G11" s="42" t="s">
        <v>322</v>
      </c>
      <c r="H11" s="7" t="s">
        <v>23</v>
      </c>
      <c r="I11" s="43" t="n">
        <v>1</v>
      </c>
      <c r="J11" s="44" t="n">
        <v>720</v>
      </c>
      <c r="K11" s="45" t="n">
        <f aca="false">I11*J11</f>
        <v>720</v>
      </c>
      <c r="L11" s="42" t="s">
        <v>315</v>
      </c>
      <c r="M11" s="42" t="s">
        <v>316</v>
      </c>
      <c r="N11" s="42" t="s">
        <v>317</v>
      </c>
      <c r="O11" s="42" t="s">
        <v>323</v>
      </c>
    </row>
    <row r="12" customFormat="false" ht="42" hidden="false" customHeight="true" outlineLevel="0" collapsed="false">
      <c r="A12" s="40" t="n">
        <v>9</v>
      </c>
      <c r="B12" s="41" t="s">
        <v>310</v>
      </c>
      <c r="C12" s="42" t="s">
        <v>324</v>
      </c>
      <c r="D12" s="42" t="s">
        <v>312</v>
      </c>
      <c r="E12" s="42" t="s">
        <v>325</v>
      </c>
      <c r="F12" s="42" t="s">
        <v>276</v>
      </c>
      <c r="G12" s="42" t="s">
        <v>326</v>
      </c>
      <c r="H12" s="7" t="s">
        <v>23</v>
      </c>
      <c r="I12" s="43" t="n">
        <v>1</v>
      </c>
      <c r="J12" s="44" t="n">
        <v>590</v>
      </c>
      <c r="K12" s="45" t="n">
        <f aca="false">I12*J12</f>
        <v>590</v>
      </c>
      <c r="L12" s="42" t="s">
        <v>32</v>
      </c>
      <c r="M12" s="42" t="s">
        <v>327</v>
      </c>
      <c r="N12" s="42" t="s">
        <v>317</v>
      </c>
      <c r="O12" s="42" t="s">
        <v>328</v>
      </c>
    </row>
    <row r="13" customFormat="false" ht="42" hidden="false" customHeight="true" outlineLevel="0" collapsed="false">
      <c r="A13" s="40" t="n">
        <v>10</v>
      </c>
      <c r="B13" s="41" t="s">
        <v>310</v>
      </c>
      <c r="C13" s="42" t="s">
        <v>329</v>
      </c>
      <c r="D13" s="42" t="s">
        <v>19</v>
      </c>
      <c r="E13" s="42" t="s">
        <v>330</v>
      </c>
      <c r="F13" s="42" t="s">
        <v>331</v>
      </c>
      <c r="G13" s="42" t="s">
        <v>332</v>
      </c>
      <c r="H13" s="7" t="s">
        <v>23</v>
      </c>
      <c r="I13" s="43" t="n">
        <v>1</v>
      </c>
      <c r="J13" s="44" t="n">
        <v>4200</v>
      </c>
      <c r="K13" s="45" t="n">
        <f aca="false">I13*J13</f>
        <v>4200</v>
      </c>
      <c r="L13" s="42" t="s">
        <v>24</v>
      </c>
      <c r="M13" s="42" t="s">
        <v>333</v>
      </c>
      <c r="N13" s="42" t="s">
        <v>34</v>
      </c>
      <c r="O13" s="42" t="s">
        <v>334</v>
      </c>
    </row>
    <row r="14" customFormat="false" ht="42" hidden="false" customHeight="true" outlineLevel="0" collapsed="false">
      <c r="A14" s="40" t="n">
        <v>11</v>
      </c>
      <c r="B14" s="41" t="s">
        <v>310</v>
      </c>
      <c r="C14" s="42" t="s">
        <v>335</v>
      </c>
      <c r="D14" s="42" t="s">
        <v>336</v>
      </c>
      <c r="E14" s="42" t="s">
        <v>337</v>
      </c>
      <c r="F14" s="42" t="s">
        <v>338</v>
      </c>
      <c r="G14" s="42" t="s">
        <v>339</v>
      </c>
      <c r="H14" s="7" t="s">
        <v>23</v>
      </c>
      <c r="I14" s="43" t="n">
        <v>1</v>
      </c>
      <c r="J14" s="44" t="n">
        <v>1650</v>
      </c>
      <c r="K14" s="45" t="n">
        <f aca="false">I14*J14</f>
        <v>1650</v>
      </c>
      <c r="L14" s="42" t="s">
        <v>24</v>
      </c>
      <c r="M14" s="42" t="s">
        <v>340</v>
      </c>
      <c r="N14" s="42" t="s">
        <v>341</v>
      </c>
      <c r="O14" s="42" t="s">
        <v>342</v>
      </c>
    </row>
    <row r="15" customFormat="false" ht="42" hidden="false" customHeight="true" outlineLevel="0" collapsed="false">
      <c r="A15" s="40" t="n">
        <v>12</v>
      </c>
      <c r="B15" s="41" t="s">
        <v>310</v>
      </c>
      <c r="C15" s="42" t="s">
        <v>343</v>
      </c>
      <c r="D15" s="42" t="s">
        <v>336</v>
      </c>
      <c r="E15" s="42" t="s">
        <v>344</v>
      </c>
      <c r="F15" s="42" t="s">
        <v>345</v>
      </c>
      <c r="G15" s="42" t="s">
        <v>339</v>
      </c>
      <c r="H15" s="11" t="s">
        <v>102</v>
      </c>
      <c r="I15" s="43" t="n">
        <v>1</v>
      </c>
      <c r="J15" s="44" t="n">
        <v>3800</v>
      </c>
      <c r="K15" s="45" t="n">
        <f aca="false">I15*J15</f>
        <v>3800</v>
      </c>
      <c r="L15" s="42" t="s">
        <v>24</v>
      </c>
      <c r="M15" s="42" t="s">
        <v>346</v>
      </c>
      <c r="N15" s="42" t="s">
        <v>341</v>
      </c>
      <c r="O15" s="42" t="s">
        <v>347</v>
      </c>
    </row>
    <row r="16" customFormat="false" ht="42" hidden="false" customHeight="true" outlineLevel="0" collapsed="false">
      <c r="A16" s="40" t="n">
        <v>13</v>
      </c>
      <c r="B16" s="41" t="s">
        <v>310</v>
      </c>
      <c r="C16" s="42" t="s">
        <v>348</v>
      </c>
      <c r="D16" s="42" t="s">
        <v>336</v>
      </c>
      <c r="E16" s="42" t="s">
        <v>349</v>
      </c>
      <c r="F16" s="42" t="s">
        <v>350</v>
      </c>
      <c r="G16" s="42" t="s">
        <v>351</v>
      </c>
      <c r="H16" s="7" t="s">
        <v>23</v>
      </c>
      <c r="I16" s="43" t="n">
        <v>1</v>
      </c>
      <c r="J16" s="44" t="n">
        <v>2650</v>
      </c>
      <c r="K16" s="45" t="n">
        <f aca="false">I16*J16</f>
        <v>2650</v>
      </c>
      <c r="L16" s="42" t="s">
        <v>24</v>
      </c>
      <c r="M16" s="42" t="s">
        <v>352</v>
      </c>
      <c r="N16" s="42" t="s">
        <v>341</v>
      </c>
      <c r="O16" s="42" t="s">
        <v>353</v>
      </c>
    </row>
    <row r="17" customFormat="false" ht="42" hidden="false" customHeight="true" outlineLevel="0" collapsed="false">
      <c r="A17" s="40" t="n">
        <v>14</v>
      </c>
      <c r="B17" s="41" t="s">
        <v>310</v>
      </c>
      <c r="C17" s="42" t="s">
        <v>354</v>
      </c>
      <c r="D17" s="42" t="s">
        <v>355</v>
      </c>
      <c r="E17" s="42" t="s">
        <v>356</v>
      </c>
      <c r="F17" s="42" t="s">
        <v>357</v>
      </c>
      <c r="G17" s="42" t="s">
        <v>358</v>
      </c>
      <c r="H17" s="7" t="s">
        <v>23</v>
      </c>
      <c r="I17" s="43" t="n">
        <v>1</v>
      </c>
      <c r="J17" s="44" t="n">
        <v>16500</v>
      </c>
      <c r="K17" s="45" t="n">
        <f aca="false">I17*J17</f>
        <v>16500</v>
      </c>
      <c r="L17" s="42" t="s">
        <v>24</v>
      </c>
      <c r="M17" s="42" t="s">
        <v>359</v>
      </c>
      <c r="N17" s="42" t="s">
        <v>360</v>
      </c>
      <c r="O17" s="42" t="s">
        <v>361</v>
      </c>
    </row>
    <row r="18" customFormat="false" ht="42" hidden="false" customHeight="true" outlineLevel="0" collapsed="false">
      <c r="A18" s="40" t="n">
        <v>15</v>
      </c>
      <c r="B18" s="41" t="s">
        <v>310</v>
      </c>
      <c r="C18" s="42" t="s">
        <v>362</v>
      </c>
      <c r="D18" s="42" t="s">
        <v>336</v>
      </c>
      <c r="E18" s="42" t="s">
        <v>363</v>
      </c>
      <c r="F18" s="42" t="s">
        <v>364</v>
      </c>
      <c r="G18" s="42" t="s">
        <v>365</v>
      </c>
      <c r="H18" s="11" t="s">
        <v>102</v>
      </c>
      <c r="I18" s="43" t="n">
        <v>1</v>
      </c>
      <c r="J18" s="44" t="n">
        <v>3200</v>
      </c>
      <c r="K18" s="45" t="n">
        <f aca="false">I18*J18</f>
        <v>3200</v>
      </c>
      <c r="L18" s="42" t="s">
        <v>24</v>
      </c>
      <c r="M18" s="42" t="s">
        <v>366</v>
      </c>
      <c r="N18" s="42" t="s">
        <v>341</v>
      </c>
      <c r="O18" s="42" t="s">
        <v>367</v>
      </c>
    </row>
    <row r="19" customFormat="false" ht="42" hidden="false" customHeight="true" outlineLevel="0" collapsed="false">
      <c r="A19" s="40" t="n">
        <v>16</v>
      </c>
      <c r="B19" s="41" t="s">
        <v>310</v>
      </c>
      <c r="C19" s="42" t="s">
        <v>368</v>
      </c>
      <c r="D19" s="42" t="s">
        <v>369</v>
      </c>
      <c r="E19" s="42" t="s">
        <v>370</v>
      </c>
      <c r="F19" s="42" t="s">
        <v>276</v>
      </c>
      <c r="G19" s="42" t="s">
        <v>371</v>
      </c>
      <c r="H19" s="11" t="s">
        <v>102</v>
      </c>
      <c r="I19" s="43" t="n">
        <v>1</v>
      </c>
      <c r="J19" s="44" t="n">
        <v>8500</v>
      </c>
      <c r="K19" s="45" t="n">
        <f aca="false">I19*J19</f>
        <v>8500</v>
      </c>
      <c r="L19" s="42" t="s">
        <v>372</v>
      </c>
      <c r="M19" s="42" t="s">
        <v>373</v>
      </c>
      <c r="N19" s="42" t="s">
        <v>374</v>
      </c>
      <c r="O19" s="42" t="s">
        <v>375</v>
      </c>
    </row>
    <row r="20" customFormat="false" ht="42" hidden="false" customHeight="true" outlineLevel="0" collapsed="false">
      <c r="A20" s="18" t="n">
        <v>17</v>
      </c>
      <c r="B20" s="19" t="s">
        <v>164</v>
      </c>
      <c r="C20" s="20" t="s">
        <v>376</v>
      </c>
      <c r="D20" s="20" t="s">
        <v>19</v>
      </c>
      <c r="E20" s="20" t="s">
        <v>377</v>
      </c>
      <c r="F20" s="20" t="s">
        <v>378</v>
      </c>
      <c r="G20" s="20" t="s">
        <v>379</v>
      </c>
      <c r="H20" s="7" t="s">
        <v>23</v>
      </c>
      <c r="I20" s="21" t="n">
        <v>2</v>
      </c>
      <c r="J20" s="22" t="n">
        <v>520</v>
      </c>
      <c r="K20" s="23" t="n">
        <f aca="false">I20*J20</f>
        <v>1040</v>
      </c>
      <c r="L20" s="20" t="s">
        <v>24</v>
      </c>
      <c r="M20" s="20" t="s">
        <v>188</v>
      </c>
      <c r="N20" s="20" t="s">
        <v>34</v>
      </c>
      <c r="O20" s="20" t="s">
        <v>380</v>
      </c>
    </row>
    <row r="21" customFormat="false" ht="42" hidden="false" customHeight="true" outlineLevel="0" collapsed="false">
      <c r="A21" s="18" t="n">
        <v>18</v>
      </c>
      <c r="B21" s="19" t="s">
        <v>164</v>
      </c>
      <c r="C21" s="20" t="s">
        <v>381</v>
      </c>
      <c r="D21" s="20" t="s">
        <v>178</v>
      </c>
      <c r="E21" s="20" t="s">
        <v>382</v>
      </c>
      <c r="F21" s="20" t="s">
        <v>197</v>
      </c>
      <c r="G21" s="20" t="s">
        <v>383</v>
      </c>
      <c r="H21" s="7" t="s">
        <v>23</v>
      </c>
      <c r="I21" s="21" t="n">
        <v>1</v>
      </c>
      <c r="J21" s="22" t="n">
        <v>2100</v>
      </c>
      <c r="K21" s="23" t="n">
        <f aca="false">I21*J21</f>
        <v>2100</v>
      </c>
      <c r="L21" s="20" t="s">
        <v>24</v>
      </c>
      <c r="M21" s="20" t="s">
        <v>384</v>
      </c>
      <c r="N21" s="20" t="s">
        <v>385</v>
      </c>
      <c r="O21" s="20" t="s">
        <v>386</v>
      </c>
    </row>
    <row r="22" customFormat="false" ht="42" hidden="false" customHeight="true" outlineLevel="0" collapsed="false">
      <c r="A22" s="18" t="n">
        <v>19</v>
      </c>
      <c r="B22" s="19" t="s">
        <v>164</v>
      </c>
      <c r="C22" s="20" t="s">
        <v>387</v>
      </c>
      <c r="D22" s="20" t="s">
        <v>19</v>
      </c>
      <c r="E22" s="20" t="s">
        <v>388</v>
      </c>
      <c r="F22" s="20" t="s">
        <v>389</v>
      </c>
      <c r="G22" s="20" t="s">
        <v>390</v>
      </c>
      <c r="H22" s="7" t="s">
        <v>23</v>
      </c>
      <c r="I22" s="21" t="n">
        <v>1</v>
      </c>
      <c r="J22" s="22" t="n">
        <v>1200</v>
      </c>
      <c r="K22" s="23" t="n">
        <f aca="false">I22*J22</f>
        <v>1200</v>
      </c>
      <c r="L22" s="20" t="s">
        <v>24</v>
      </c>
      <c r="M22" s="20" t="s">
        <v>391</v>
      </c>
      <c r="N22" s="20" t="s">
        <v>34</v>
      </c>
      <c r="O22" s="20" t="s">
        <v>392</v>
      </c>
    </row>
    <row r="23" customFormat="false" ht="42" hidden="false" customHeight="true" outlineLevel="0" collapsed="false">
      <c r="A23" s="18" t="n">
        <v>20</v>
      </c>
      <c r="B23" s="19" t="s">
        <v>164</v>
      </c>
      <c r="C23" s="20" t="s">
        <v>393</v>
      </c>
      <c r="D23" s="20" t="s">
        <v>19</v>
      </c>
      <c r="E23" s="20" t="s">
        <v>394</v>
      </c>
      <c r="F23" s="20" t="s">
        <v>395</v>
      </c>
      <c r="G23" s="20" t="s">
        <v>396</v>
      </c>
      <c r="H23" s="7" t="s">
        <v>23</v>
      </c>
      <c r="I23" s="21" t="n">
        <v>1</v>
      </c>
      <c r="J23" s="22" t="n">
        <v>1650</v>
      </c>
      <c r="K23" s="23" t="n">
        <f aca="false">I23*J23</f>
        <v>1650</v>
      </c>
      <c r="L23" s="20" t="s">
        <v>24</v>
      </c>
      <c r="M23" s="20" t="s">
        <v>397</v>
      </c>
      <c r="N23" s="20" t="s">
        <v>34</v>
      </c>
      <c r="O23" s="20" t="s">
        <v>398</v>
      </c>
    </row>
    <row r="24" customFormat="false" ht="42" hidden="false" customHeight="true" outlineLevel="0" collapsed="false">
      <c r="A24" s="46" t="n">
        <v>21</v>
      </c>
      <c r="B24" s="47" t="s">
        <v>399</v>
      </c>
      <c r="C24" s="48" t="s">
        <v>400</v>
      </c>
      <c r="D24" s="48" t="s">
        <v>19</v>
      </c>
      <c r="E24" s="48" t="s">
        <v>401</v>
      </c>
      <c r="F24" s="48" t="s">
        <v>54</v>
      </c>
      <c r="G24" s="48" t="s">
        <v>402</v>
      </c>
      <c r="H24" s="7" t="s">
        <v>23</v>
      </c>
      <c r="I24" s="49" t="n">
        <v>1</v>
      </c>
      <c r="J24" s="50" t="n">
        <v>5400</v>
      </c>
      <c r="K24" s="51" t="n">
        <f aca="false">I24*J24</f>
        <v>5400</v>
      </c>
      <c r="L24" s="48" t="s">
        <v>403</v>
      </c>
      <c r="M24" s="48" t="s">
        <v>404</v>
      </c>
      <c r="N24" s="48" t="s">
        <v>34</v>
      </c>
      <c r="O24" s="48" t="s">
        <v>405</v>
      </c>
    </row>
    <row r="25" customFormat="false" ht="42" hidden="false" customHeight="true" outlineLevel="0" collapsed="false">
      <c r="A25" s="46" t="n">
        <v>22</v>
      </c>
      <c r="B25" s="47" t="s">
        <v>399</v>
      </c>
      <c r="C25" s="48" t="s">
        <v>406</v>
      </c>
      <c r="D25" s="48" t="s">
        <v>19</v>
      </c>
      <c r="E25" s="48" t="s">
        <v>407</v>
      </c>
      <c r="F25" s="48" t="s">
        <v>21</v>
      </c>
      <c r="G25" s="48" t="s">
        <v>408</v>
      </c>
      <c r="H25" s="11" t="s">
        <v>102</v>
      </c>
      <c r="I25" s="49" t="n">
        <v>1</v>
      </c>
      <c r="J25" s="50" t="n">
        <v>2400</v>
      </c>
      <c r="K25" s="51" t="n">
        <f aca="false">I25*J25</f>
        <v>2400</v>
      </c>
      <c r="L25" s="48" t="s">
        <v>32</v>
      </c>
      <c r="M25" s="48" t="s">
        <v>409</v>
      </c>
      <c r="N25" s="48" t="s">
        <v>34</v>
      </c>
      <c r="O25" s="48" t="s">
        <v>410</v>
      </c>
    </row>
    <row r="26" customFormat="false" ht="42" hidden="false" customHeight="true" outlineLevel="0" collapsed="false">
      <c r="A26" s="46" t="n">
        <v>23</v>
      </c>
      <c r="B26" s="47" t="s">
        <v>399</v>
      </c>
      <c r="C26" s="48" t="s">
        <v>411</v>
      </c>
      <c r="D26" s="48" t="s">
        <v>336</v>
      </c>
      <c r="E26" s="48" t="s">
        <v>412</v>
      </c>
      <c r="F26" s="48" t="s">
        <v>413</v>
      </c>
      <c r="G26" s="48" t="s">
        <v>414</v>
      </c>
      <c r="H26" s="11" t="s">
        <v>102</v>
      </c>
      <c r="I26" s="49" t="n">
        <v>1</v>
      </c>
      <c r="J26" s="50" t="n">
        <v>4200</v>
      </c>
      <c r="K26" s="51" t="n">
        <f aca="false">I26*J26</f>
        <v>4200</v>
      </c>
      <c r="L26" s="48" t="s">
        <v>32</v>
      </c>
      <c r="M26" s="48" t="s">
        <v>415</v>
      </c>
      <c r="N26" s="48" t="s">
        <v>341</v>
      </c>
      <c r="O26" s="48" t="s">
        <v>416</v>
      </c>
    </row>
    <row r="27" customFormat="false" ht="42" hidden="false" customHeight="true" outlineLevel="0" collapsed="false">
      <c r="A27" s="46" t="n">
        <v>24</v>
      </c>
      <c r="B27" s="47" t="s">
        <v>399</v>
      </c>
      <c r="C27" s="48" t="s">
        <v>417</v>
      </c>
      <c r="D27" s="48" t="s">
        <v>418</v>
      </c>
      <c r="E27" s="48" t="s">
        <v>419</v>
      </c>
      <c r="F27" s="48" t="s">
        <v>420</v>
      </c>
      <c r="G27" s="48" t="s">
        <v>421</v>
      </c>
      <c r="H27" s="52" t="s">
        <v>422</v>
      </c>
      <c r="I27" s="49" t="n">
        <v>1</v>
      </c>
      <c r="J27" s="50" t="n">
        <v>3800</v>
      </c>
      <c r="K27" s="51" t="n">
        <f aca="false">I27*J27</f>
        <v>3800</v>
      </c>
      <c r="L27" s="48" t="s">
        <v>372</v>
      </c>
      <c r="M27" s="48" t="s">
        <v>423</v>
      </c>
      <c r="N27" s="48" t="s">
        <v>424</v>
      </c>
      <c r="O27" s="48" t="s">
        <v>425</v>
      </c>
    </row>
    <row r="28" customFormat="false" ht="42" hidden="false" customHeight="true" outlineLevel="0" collapsed="false">
      <c r="A28" s="4" t="n">
        <v>25</v>
      </c>
      <c r="B28" s="5" t="s">
        <v>17</v>
      </c>
      <c r="C28" s="6" t="s">
        <v>426</v>
      </c>
      <c r="D28" s="6" t="s">
        <v>312</v>
      </c>
      <c r="E28" s="6" t="s">
        <v>427</v>
      </c>
      <c r="F28" s="6" t="s">
        <v>276</v>
      </c>
      <c r="G28" s="6" t="s">
        <v>428</v>
      </c>
      <c r="H28" s="7" t="s">
        <v>23</v>
      </c>
      <c r="I28" s="8" t="n">
        <v>2</v>
      </c>
      <c r="J28" s="9" t="n">
        <v>380</v>
      </c>
      <c r="K28" s="10" t="n">
        <f aca="false">I28*J28</f>
        <v>760</v>
      </c>
      <c r="L28" s="6" t="s">
        <v>429</v>
      </c>
      <c r="M28" s="6" t="s">
        <v>430</v>
      </c>
      <c r="N28" s="6" t="s">
        <v>317</v>
      </c>
      <c r="O28" s="6" t="s">
        <v>431</v>
      </c>
    </row>
    <row r="29" customFormat="false" ht="42" hidden="false" customHeight="true" outlineLevel="0" collapsed="false">
      <c r="A29" s="4" t="n">
        <v>26</v>
      </c>
      <c r="B29" s="5" t="s">
        <v>17</v>
      </c>
      <c r="C29" s="6" t="s">
        <v>432</v>
      </c>
      <c r="D29" s="6" t="s">
        <v>312</v>
      </c>
      <c r="E29" s="6" t="s">
        <v>433</v>
      </c>
      <c r="F29" s="6" t="s">
        <v>276</v>
      </c>
      <c r="G29" s="6" t="s">
        <v>434</v>
      </c>
      <c r="H29" s="7" t="s">
        <v>23</v>
      </c>
      <c r="I29" s="8" t="n">
        <v>2</v>
      </c>
      <c r="J29" s="9" t="n">
        <v>145</v>
      </c>
      <c r="K29" s="10" t="n">
        <f aca="false">I29*J29</f>
        <v>290</v>
      </c>
      <c r="L29" s="6" t="s">
        <v>435</v>
      </c>
      <c r="M29" s="6" t="s">
        <v>436</v>
      </c>
      <c r="N29" s="6" t="s">
        <v>317</v>
      </c>
      <c r="O29" s="6" t="s">
        <v>437</v>
      </c>
    </row>
    <row r="30" customFormat="false" ht="42" hidden="false" customHeight="true" outlineLevel="0" collapsed="false">
      <c r="A30" s="12" t="n">
        <v>27</v>
      </c>
      <c r="B30" s="13" t="s">
        <v>106</v>
      </c>
      <c r="C30" s="14" t="s">
        <v>438</v>
      </c>
      <c r="D30" s="14" t="s">
        <v>127</v>
      </c>
      <c r="E30" s="14" t="s">
        <v>439</v>
      </c>
      <c r="F30" s="14" t="s">
        <v>440</v>
      </c>
      <c r="G30" s="14" t="s">
        <v>210</v>
      </c>
      <c r="H30" s="11" t="s">
        <v>102</v>
      </c>
      <c r="I30" s="15" t="n">
        <v>1</v>
      </c>
      <c r="J30" s="16" t="n">
        <v>265</v>
      </c>
      <c r="K30" s="17" t="n">
        <f aca="false">I30*J30</f>
        <v>265</v>
      </c>
      <c r="L30" s="14" t="s">
        <v>130</v>
      </c>
      <c r="M30" s="14" t="s">
        <v>441</v>
      </c>
      <c r="N30" s="14" t="s">
        <v>132</v>
      </c>
      <c r="O30" s="14" t="s">
        <v>442</v>
      </c>
    </row>
    <row r="31" customFormat="false" ht="42" hidden="false" customHeight="true" outlineLevel="0" collapsed="false">
      <c r="A31" s="12" t="n">
        <v>28</v>
      </c>
      <c r="B31" s="13" t="s">
        <v>106</v>
      </c>
      <c r="C31" s="14" t="s">
        <v>443</v>
      </c>
      <c r="D31" s="14" t="s">
        <v>127</v>
      </c>
      <c r="E31" s="14" t="s">
        <v>444</v>
      </c>
      <c r="F31" s="14" t="s">
        <v>54</v>
      </c>
      <c r="G31" s="14" t="s">
        <v>210</v>
      </c>
      <c r="H31" s="11" t="s">
        <v>102</v>
      </c>
      <c r="I31" s="15" t="n">
        <v>1</v>
      </c>
      <c r="J31" s="16" t="n">
        <v>195</v>
      </c>
      <c r="K31" s="17" t="n">
        <f aca="false">I31*J31</f>
        <v>195</v>
      </c>
      <c r="L31" s="14" t="s">
        <v>130</v>
      </c>
      <c r="M31" s="14" t="s">
        <v>445</v>
      </c>
      <c r="N31" s="14" t="s">
        <v>132</v>
      </c>
      <c r="O31" s="14" t="s">
        <v>446</v>
      </c>
    </row>
    <row r="32" customFormat="false" ht="42" hidden="false" customHeight="true" outlineLevel="0" collapsed="false">
      <c r="A32" s="30" t="n">
        <v>29</v>
      </c>
      <c r="B32" s="31" t="s">
        <v>248</v>
      </c>
      <c r="C32" s="32" t="s">
        <v>447</v>
      </c>
      <c r="D32" s="32" t="s">
        <v>312</v>
      </c>
      <c r="E32" s="32" t="s">
        <v>448</v>
      </c>
      <c r="F32" s="32" t="s">
        <v>276</v>
      </c>
      <c r="G32" s="32" t="s">
        <v>449</v>
      </c>
      <c r="H32" s="7" t="s">
        <v>23</v>
      </c>
      <c r="I32" s="33" t="n">
        <v>2</v>
      </c>
      <c r="J32" s="34" t="n">
        <v>850</v>
      </c>
      <c r="K32" s="35" t="n">
        <f aca="false">I32*J32</f>
        <v>1700</v>
      </c>
      <c r="L32" s="32" t="s">
        <v>429</v>
      </c>
      <c r="M32" s="32" t="s">
        <v>450</v>
      </c>
      <c r="N32" s="32" t="s">
        <v>317</v>
      </c>
      <c r="O32" s="32" t="s">
        <v>451</v>
      </c>
    </row>
    <row r="33" customFormat="false" ht="42" hidden="false" customHeight="true" outlineLevel="0" collapsed="false">
      <c r="A33" s="30" t="n">
        <v>30</v>
      </c>
      <c r="B33" s="31" t="s">
        <v>248</v>
      </c>
      <c r="C33" s="32" t="s">
        <v>452</v>
      </c>
      <c r="D33" s="32" t="s">
        <v>453</v>
      </c>
      <c r="E33" s="32" t="s">
        <v>454</v>
      </c>
      <c r="F33" s="32" t="s">
        <v>197</v>
      </c>
      <c r="G33" s="32" t="s">
        <v>455</v>
      </c>
      <c r="H33" s="7" t="s">
        <v>23</v>
      </c>
      <c r="I33" s="33" t="n">
        <v>2</v>
      </c>
      <c r="J33" s="34" t="n">
        <v>620</v>
      </c>
      <c r="K33" s="35" t="n">
        <f aca="false">I33*J33</f>
        <v>1240</v>
      </c>
      <c r="L33" s="32" t="s">
        <v>429</v>
      </c>
      <c r="M33" s="32" t="s">
        <v>450</v>
      </c>
      <c r="N33" s="32" t="s">
        <v>456</v>
      </c>
      <c r="O33" s="32" t="s">
        <v>457</v>
      </c>
    </row>
    <row r="34" customFormat="false" ht="42" hidden="false" customHeight="true" outlineLevel="0" collapsed="false">
      <c r="A34" s="30" t="n">
        <v>31</v>
      </c>
      <c r="B34" s="31" t="s">
        <v>248</v>
      </c>
      <c r="C34" s="32" t="s">
        <v>458</v>
      </c>
      <c r="D34" s="32" t="s">
        <v>250</v>
      </c>
      <c r="E34" s="32" t="s">
        <v>459</v>
      </c>
      <c r="F34" s="32" t="s">
        <v>54</v>
      </c>
      <c r="G34" s="32" t="s">
        <v>252</v>
      </c>
      <c r="H34" s="7" t="s">
        <v>23</v>
      </c>
      <c r="I34" s="33" t="n">
        <v>2</v>
      </c>
      <c r="J34" s="34" t="n">
        <v>145</v>
      </c>
      <c r="K34" s="35" t="n">
        <f aca="false">I34*J34</f>
        <v>290</v>
      </c>
      <c r="L34" s="32" t="s">
        <v>32</v>
      </c>
      <c r="M34" s="32" t="s">
        <v>460</v>
      </c>
      <c r="N34" s="32" t="s">
        <v>255</v>
      </c>
      <c r="O34" s="32" t="s">
        <v>461</v>
      </c>
    </row>
    <row r="35" customFormat="false" ht="42" hidden="false" customHeight="true" outlineLevel="0" collapsed="false">
      <c r="A35" s="24" t="n">
        <v>32</v>
      </c>
      <c r="B35" s="25" t="s">
        <v>213</v>
      </c>
      <c r="C35" s="26" t="s">
        <v>462</v>
      </c>
      <c r="D35" s="26" t="s">
        <v>93</v>
      </c>
      <c r="E35" s="26" t="s">
        <v>463</v>
      </c>
      <c r="F35" s="26" t="s">
        <v>464</v>
      </c>
      <c r="G35" s="26" t="s">
        <v>465</v>
      </c>
      <c r="H35" s="7" t="s">
        <v>23</v>
      </c>
      <c r="I35" s="27" t="n">
        <v>1</v>
      </c>
      <c r="J35" s="28" t="n">
        <v>145</v>
      </c>
      <c r="K35" s="29" t="n">
        <f aca="false">I35*J35</f>
        <v>145</v>
      </c>
      <c r="L35" s="26" t="s">
        <v>466</v>
      </c>
      <c r="M35" s="26" t="s">
        <v>467</v>
      </c>
      <c r="N35" s="26" t="s">
        <v>468</v>
      </c>
      <c r="O35" s="26" t="s">
        <v>469</v>
      </c>
    </row>
    <row r="36" customFormat="false" ht="42" hidden="false" customHeight="true" outlineLevel="0" collapsed="false">
      <c r="A36" s="24" t="n">
        <v>33</v>
      </c>
      <c r="B36" s="25" t="s">
        <v>213</v>
      </c>
      <c r="C36" s="26" t="s">
        <v>470</v>
      </c>
      <c r="D36" s="26" t="s">
        <v>215</v>
      </c>
      <c r="E36" s="26" t="s">
        <v>471</v>
      </c>
      <c r="F36" s="26" t="s">
        <v>472</v>
      </c>
      <c r="G36" s="26" t="s">
        <v>465</v>
      </c>
      <c r="H36" s="7" t="s">
        <v>23</v>
      </c>
      <c r="I36" s="27" t="n">
        <v>1</v>
      </c>
      <c r="J36" s="28" t="n">
        <v>580</v>
      </c>
      <c r="K36" s="29" t="n">
        <f aca="false">I36*J36</f>
        <v>580</v>
      </c>
      <c r="L36" s="26" t="s">
        <v>473</v>
      </c>
      <c r="M36" s="26" t="s">
        <v>474</v>
      </c>
      <c r="N36" s="26" t="s">
        <v>220</v>
      </c>
      <c r="O36" s="26" t="s">
        <v>475</v>
      </c>
    </row>
    <row r="37" customFormat="false" ht="42" hidden="false" customHeight="true" outlineLevel="0" collapsed="false">
      <c r="A37" s="24" t="n">
        <v>34</v>
      </c>
      <c r="B37" s="25" t="s">
        <v>213</v>
      </c>
      <c r="C37" s="26" t="s">
        <v>476</v>
      </c>
      <c r="D37" s="26" t="s">
        <v>477</v>
      </c>
      <c r="E37" s="26" t="s">
        <v>478</v>
      </c>
      <c r="F37" s="26" t="s">
        <v>479</v>
      </c>
      <c r="G37" s="26" t="s">
        <v>465</v>
      </c>
      <c r="H37" s="11" t="s">
        <v>102</v>
      </c>
      <c r="I37" s="27" t="n">
        <v>1</v>
      </c>
      <c r="J37" s="28" t="n">
        <v>320</v>
      </c>
      <c r="K37" s="29" t="n">
        <f aca="false">I37*J37</f>
        <v>320</v>
      </c>
      <c r="L37" s="26" t="s">
        <v>480</v>
      </c>
      <c r="M37" s="26" t="s">
        <v>481</v>
      </c>
      <c r="N37" s="26" t="s">
        <v>482</v>
      </c>
      <c r="O37" s="26" t="s">
        <v>483</v>
      </c>
    </row>
    <row r="38" customFormat="false" ht="42" hidden="false" customHeight="true" outlineLevel="0" collapsed="false">
      <c r="A38" s="12" t="n">
        <v>35</v>
      </c>
      <c r="B38" s="13" t="s">
        <v>106</v>
      </c>
      <c r="C38" s="14" t="s">
        <v>484</v>
      </c>
      <c r="D38" s="14" t="s">
        <v>135</v>
      </c>
      <c r="E38" s="14" t="s">
        <v>485</v>
      </c>
      <c r="F38" s="14" t="s">
        <v>486</v>
      </c>
      <c r="G38" s="14" t="s">
        <v>487</v>
      </c>
      <c r="H38" s="7" t="s">
        <v>23</v>
      </c>
      <c r="I38" s="15" t="n">
        <v>1</v>
      </c>
      <c r="J38" s="16" t="n">
        <v>165</v>
      </c>
      <c r="K38" s="17" t="n">
        <f aca="false">I38*J38</f>
        <v>165</v>
      </c>
      <c r="L38" s="14" t="s">
        <v>488</v>
      </c>
      <c r="M38" s="14" t="s">
        <v>489</v>
      </c>
      <c r="N38" s="14" t="s">
        <v>139</v>
      </c>
      <c r="O38" s="14" t="s">
        <v>490</v>
      </c>
    </row>
    <row r="39" customFormat="false" ht="42" hidden="false" customHeight="true" outlineLevel="0" collapsed="false">
      <c r="A39" s="12" t="n">
        <v>36</v>
      </c>
      <c r="B39" s="13" t="s">
        <v>106</v>
      </c>
      <c r="C39" s="14" t="s">
        <v>491</v>
      </c>
      <c r="D39" s="14" t="s">
        <v>135</v>
      </c>
      <c r="E39" s="14" t="s">
        <v>492</v>
      </c>
      <c r="F39" s="14" t="s">
        <v>493</v>
      </c>
      <c r="G39" s="14" t="s">
        <v>487</v>
      </c>
      <c r="H39" s="7" t="s">
        <v>23</v>
      </c>
      <c r="I39" s="15" t="n">
        <v>1</v>
      </c>
      <c r="J39" s="16" t="n">
        <v>210</v>
      </c>
      <c r="K39" s="17" t="n">
        <f aca="false">I39*J39</f>
        <v>210</v>
      </c>
      <c r="L39" s="14" t="s">
        <v>494</v>
      </c>
      <c r="M39" s="14" t="s">
        <v>489</v>
      </c>
      <c r="N39" s="14" t="s">
        <v>139</v>
      </c>
      <c r="O39" s="14" t="s">
        <v>495</v>
      </c>
    </row>
    <row r="40" customFormat="false" ht="42" hidden="false" customHeight="true" outlineLevel="0" collapsed="false">
      <c r="A40" s="12" t="n">
        <v>37</v>
      </c>
      <c r="B40" s="13" t="s">
        <v>106</v>
      </c>
      <c r="C40" s="14" t="s">
        <v>496</v>
      </c>
      <c r="D40" s="14" t="s">
        <v>99</v>
      </c>
      <c r="E40" s="14" t="s">
        <v>497</v>
      </c>
      <c r="F40" s="14" t="s">
        <v>440</v>
      </c>
      <c r="G40" s="14" t="s">
        <v>487</v>
      </c>
      <c r="H40" s="7" t="s">
        <v>23</v>
      </c>
      <c r="I40" s="15" t="n">
        <v>1</v>
      </c>
      <c r="J40" s="16" t="n">
        <v>385</v>
      </c>
      <c r="K40" s="17" t="n">
        <f aca="false">I40*J40</f>
        <v>385</v>
      </c>
      <c r="L40" s="14" t="s">
        <v>403</v>
      </c>
      <c r="M40" s="14" t="s">
        <v>103</v>
      </c>
      <c r="N40" s="14" t="s">
        <v>104</v>
      </c>
      <c r="O40" s="14" t="s">
        <v>498</v>
      </c>
    </row>
    <row r="41" customFormat="false" ht="42" hidden="false" customHeight="true" outlineLevel="0" collapsed="false">
      <c r="A41" s="12" t="n">
        <v>38</v>
      </c>
      <c r="B41" s="13" t="s">
        <v>106</v>
      </c>
      <c r="C41" s="14" t="s">
        <v>499</v>
      </c>
      <c r="D41" s="14" t="s">
        <v>135</v>
      </c>
      <c r="E41" s="14" t="s">
        <v>500</v>
      </c>
      <c r="F41" s="14" t="s">
        <v>501</v>
      </c>
      <c r="G41" s="14" t="s">
        <v>502</v>
      </c>
      <c r="H41" s="11" t="s">
        <v>102</v>
      </c>
      <c r="I41" s="15" t="n">
        <v>1</v>
      </c>
      <c r="J41" s="16" t="n">
        <v>580</v>
      </c>
      <c r="K41" s="17" t="n">
        <f aca="false">I41*J41</f>
        <v>580</v>
      </c>
      <c r="L41" s="14" t="s">
        <v>503</v>
      </c>
      <c r="M41" s="14" t="s">
        <v>504</v>
      </c>
      <c r="N41" s="14" t="s">
        <v>505</v>
      </c>
      <c r="O41" s="14" t="s">
        <v>506</v>
      </c>
    </row>
    <row r="42" customFormat="false" ht="42" hidden="false" customHeight="true" outlineLevel="0" collapsed="false">
      <c r="A42" s="53" t="n">
        <v>39</v>
      </c>
      <c r="B42" s="54" t="s">
        <v>507</v>
      </c>
      <c r="C42" s="55" t="s">
        <v>508</v>
      </c>
      <c r="D42" s="55" t="s">
        <v>509</v>
      </c>
      <c r="E42" s="55" t="s">
        <v>510</v>
      </c>
      <c r="F42" s="55" t="s">
        <v>511</v>
      </c>
      <c r="G42" s="55" t="s">
        <v>512</v>
      </c>
      <c r="H42" s="11" t="s">
        <v>102</v>
      </c>
      <c r="I42" s="56" t="n">
        <v>1</v>
      </c>
      <c r="J42" s="57" t="n">
        <v>1850</v>
      </c>
      <c r="K42" s="58" t="n">
        <f aca="false">I42*J42</f>
        <v>1850</v>
      </c>
      <c r="L42" s="55" t="s">
        <v>513</v>
      </c>
      <c r="M42" s="55" t="s">
        <v>514</v>
      </c>
      <c r="N42" s="55" t="s">
        <v>515</v>
      </c>
      <c r="O42" s="55" t="s">
        <v>516</v>
      </c>
    </row>
    <row r="43" customFormat="false" ht="42" hidden="false" customHeight="true" outlineLevel="0" collapsed="false">
      <c r="A43" s="53" t="n">
        <v>40</v>
      </c>
      <c r="B43" s="54" t="s">
        <v>507</v>
      </c>
      <c r="C43" s="55" t="s">
        <v>517</v>
      </c>
      <c r="D43" s="55" t="s">
        <v>518</v>
      </c>
      <c r="E43" s="55" t="s">
        <v>519</v>
      </c>
      <c r="F43" s="55" t="s">
        <v>520</v>
      </c>
      <c r="G43" s="55" t="s">
        <v>521</v>
      </c>
      <c r="H43" s="7" t="s">
        <v>23</v>
      </c>
      <c r="I43" s="56" t="n">
        <v>2</v>
      </c>
      <c r="J43" s="57" t="n">
        <v>280</v>
      </c>
      <c r="K43" s="58" t="n">
        <f aca="false">I43*J43</f>
        <v>560</v>
      </c>
      <c r="L43" s="55" t="s">
        <v>253</v>
      </c>
      <c r="M43" s="55" t="s">
        <v>522</v>
      </c>
      <c r="N43" s="55" t="s">
        <v>523</v>
      </c>
      <c r="O43" s="55" t="s">
        <v>524</v>
      </c>
    </row>
    <row r="44" customFormat="false" ht="42" hidden="false" customHeight="true" outlineLevel="0" collapsed="false">
      <c r="A44" s="53" t="n">
        <v>41</v>
      </c>
      <c r="B44" s="54" t="s">
        <v>507</v>
      </c>
      <c r="C44" s="55" t="s">
        <v>525</v>
      </c>
      <c r="D44" s="55" t="s">
        <v>526</v>
      </c>
      <c r="E44" s="55" t="s">
        <v>527</v>
      </c>
      <c r="F44" s="55" t="s">
        <v>54</v>
      </c>
      <c r="G44" s="55" t="s">
        <v>528</v>
      </c>
      <c r="H44" s="7" t="s">
        <v>23</v>
      </c>
      <c r="I44" s="56" t="n">
        <v>1</v>
      </c>
      <c r="J44" s="57" t="n">
        <v>65</v>
      </c>
      <c r="K44" s="58" t="n">
        <f aca="false">I44*J44</f>
        <v>65</v>
      </c>
      <c r="L44" s="55" t="s">
        <v>529</v>
      </c>
      <c r="M44" s="55" t="s">
        <v>530</v>
      </c>
      <c r="N44" s="55" t="s">
        <v>531</v>
      </c>
      <c r="O44" s="55" t="s">
        <v>532</v>
      </c>
    </row>
    <row r="45" customFormat="false" ht="42" hidden="false" customHeight="true" outlineLevel="0" collapsed="false">
      <c r="A45" s="53" t="n">
        <v>42</v>
      </c>
      <c r="B45" s="54" t="s">
        <v>507</v>
      </c>
      <c r="C45" s="55" t="s">
        <v>533</v>
      </c>
      <c r="D45" s="55" t="s">
        <v>534</v>
      </c>
      <c r="E45" s="55" t="s">
        <v>535</v>
      </c>
      <c r="F45" s="55" t="s">
        <v>54</v>
      </c>
      <c r="G45" s="55" t="s">
        <v>536</v>
      </c>
      <c r="H45" s="7" t="s">
        <v>23</v>
      </c>
      <c r="I45" s="56" t="n">
        <v>1</v>
      </c>
      <c r="J45" s="57" t="n">
        <v>155</v>
      </c>
      <c r="K45" s="58" t="n">
        <f aca="false">I45*J45</f>
        <v>155</v>
      </c>
      <c r="L45" s="55" t="s">
        <v>537</v>
      </c>
      <c r="M45" s="55" t="s">
        <v>538</v>
      </c>
      <c r="N45" s="55" t="s">
        <v>539</v>
      </c>
      <c r="O45" s="55" t="s">
        <v>540</v>
      </c>
    </row>
    <row r="46" customFormat="false" ht="42" hidden="false" customHeight="true" outlineLevel="0" collapsed="false">
      <c r="A46" s="53" t="n">
        <v>43</v>
      </c>
      <c r="B46" s="54" t="s">
        <v>507</v>
      </c>
      <c r="C46" s="55" t="s">
        <v>541</v>
      </c>
      <c r="D46" s="55" t="s">
        <v>542</v>
      </c>
      <c r="E46" s="55" t="s">
        <v>543</v>
      </c>
      <c r="F46" s="55" t="s">
        <v>544</v>
      </c>
      <c r="G46" s="55" t="s">
        <v>545</v>
      </c>
      <c r="H46" s="11" t="s">
        <v>102</v>
      </c>
      <c r="I46" s="56" t="n">
        <v>2</v>
      </c>
      <c r="J46" s="57" t="n">
        <v>2800</v>
      </c>
      <c r="K46" s="58" t="n">
        <f aca="false">I46*J46</f>
        <v>5600</v>
      </c>
      <c r="L46" s="55" t="s">
        <v>546</v>
      </c>
      <c r="M46" s="55" t="s">
        <v>547</v>
      </c>
      <c r="N46" s="55" t="s">
        <v>548</v>
      </c>
      <c r="O46" s="55" t="s">
        <v>549</v>
      </c>
    </row>
    <row r="47" customFormat="false" ht="24" hidden="false" customHeight="true" outlineLevel="0" collapsed="false">
      <c r="A47" s="36" t="s">
        <v>269</v>
      </c>
      <c r="B47" s="37" t="s">
        <v>270</v>
      </c>
      <c r="C47" s="37"/>
      <c r="D47" s="37"/>
      <c r="E47" s="37"/>
      <c r="F47" s="37"/>
      <c r="G47" s="37"/>
      <c r="H47" s="37"/>
      <c r="I47" s="37"/>
      <c r="J47" s="37"/>
      <c r="K47" s="38" t="n">
        <f aca="false">SUM(K4:K46)</f>
        <v>83863</v>
      </c>
      <c r="L47" s="39"/>
      <c r="M47" s="39"/>
      <c r="N47" s="39"/>
      <c r="O47" s="39"/>
    </row>
  </sheetData>
  <mergeCells count="3">
    <mergeCell ref="A1:O1"/>
    <mergeCell ref="A2:O2"/>
    <mergeCell ref="B47:J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B3C"/>
    <pageSetUpPr fitToPage="tru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30" hidden="false" customHeight="true" outlineLevel="0" collapsed="false">
      <c r="A1" s="1" t="s">
        <v>550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551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552</v>
      </c>
      <c r="B3" s="3" t="s">
        <v>4</v>
      </c>
      <c r="C3" s="3" t="s">
        <v>553</v>
      </c>
      <c r="D3" s="3" t="s">
        <v>554</v>
      </c>
      <c r="E3" s="3" t="s">
        <v>555</v>
      </c>
      <c r="F3" s="3" t="s">
        <v>556</v>
      </c>
    </row>
    <row r="4" customFormat="false" ht="27.75" hidden="false" customHeight="true" outlineLevel="0" collapsed="false">
      <c r="A4" s="59" t="s">
        <v>557</v>
      </c>
      <c r="B4" s="60" t="s">
        <v>558</v>
      </c>
      <c r="C4" s="61" t="n">
        <v>1</v>
      </c>
      <c r="D4" s="61" t="s">
        <v>559</v>
      </c>
      <c r="E4" s="62" t="n">
        <f aca="false">'Outillage Technicien'!K40</f>
        <v>4767.5</v>
      </c>
      <c r="F4" s="60" t="s">
        <v>560</v>
      </c>
    </row>
    <row r="5" customFormat="false" ht="27.75" hidden="false" customHeight="true" outlineLevel="0" collapsed="false">
      <c r="A5" s="63" t="s">
        <v>561</v>
      </c>
      <c r="B5" s="64" t="s">
        <v>562</v>
      </c>
      <c r="C5" s="65" t="n">
        <v>1</v>
      </c>
      <c r="D5" s="65" t="s">
        <v>563</v>
      </c>
      <c r="E5" s="66" t="n">
        <f aca="false">'Outillage Equipe'!K47</f>
        <v>83863</v>
      </c>
      <c r="F5" s="64" t="s">
        <v>564</v>
      </c>
    </row>
    <row r="6" customFormat="false" ht="27.75" hidden="false" customHeight="true" outlineLevel="0" collapsed="false">
      <c r="A6" s="59" t="s">
        <v>565</v>
      </c>
      <c r="B6" s="60" t="s">
        <v>566</v>
      </c>
      <c r="C6" s="61" t="n">
        <v>1</v>
      </c>
      <c r="D6" s="61" t="s">
        <v>567</v>
      </c>
      <c r="E6" s="62" t="n">
        <f aca="false">'Outillage Technicien'!K40+'Outillage Equipe'!K47</f>
        <v>88630.5</v>
      </c>
      <c r="F6" s="60" t="s">
        <v>568</v>
      </c>
    </row>
    <row r="7" customFormat="false" ht="27.75" hidden="false" customHeight="true" outlineLevel="0" collapsed="false">
      <c r="A7" s="63" t="s">
        <v>569</v>
      </c>
      <c r="B7" s="64" t="s">
        <v>570</v>
      </c>
      <c r="C7" s="65" t="n">
        <v>1</v>
      </c>
      <c r="D7" s="65" t="s">
        <v>571</v>
      </c>
      <c r="E7" s="66" t="n">
        <f aca="false">4*'Outillage Technicien'!K40+'Outillage Equipe'!K47</f>
        <v>102933</v>
      </c>
      <c r="F7" s="64" t="s">
        <v>572</v>
      </c>
    </row>
    <row r="9" customFormat="false" ht="21.75" hidden="false" customHeight="true" outlineLevel="0" collapsed="false">
      <c r="A9" s="67" t="s">
        <v>573</v>
      </c>
      <c r="B9" s="67"/>
      <c r="C9" s="67"/>
      <c r="D9" s="67"/>
      <c r="E9" s="67"/>
      <c r="F9" s="67"/>
    </row>
    <row r="10" customFormat="false" ht="19.5" hidden="false" customHeight="true" outlineLevel="0" collapsed="false">
      <c r="A10" s="7" t="s">
        <v>574</v>
      </c>
      <c r="B10" s="68" t="s">
        <v>575</v>
      </c>
      <c r="C10" s="68"/>
      <c r="D10" s="68"/>
      <c r="E10" s="68"/>
      <c r="F10" s="68"/>
    </row>
    <row r="11" customFormat="false" ht="19.5" hidden="false" customHeight="true" outlineLevel="0" collapsed="false">
      <c r="A11" s="69" t="s">
        <v>576</v>
      </c>
      <c r="B11" s="68" t="s">
        <v>577</v>
      </c>
      <c r="C11" s="68"/>
      <c r="D11" s="68"/>
      <c r="E11" s="68"/>
      <c r="F11" s="68"/>
    </row>
    <row r="12" customFormat="false" ht="19.5" hidden="false" customHeight="true" outlineLevel="0" collapsed="false">
      <c r="A12" s="70" t="s">
        <v>578</v>
      </c>
      <c r="B12" s="68" t="s">
        <v>579</v>
      </c>
      <c r="C12" s="68"/>
      <c r="D12" s="68"/>
      <c r="E12" s="68"/>
      <c r="F12" s="68"/>
    </row>
    <row r="13" customFormat="false" ht="19.5" hidden="false" customHeight="true" outlineLevel="0" collapsed="false">
      <c r="A13" s="4" t="s">
        <v>580</v>
      </c>
      <c r="B13" s="68" t="s">
        <v>581</v>
      </c>
      <c r="C13" s="68"/>
      <c r="D13" s="68"/>
      <c r="E13" s="68"/>
      <c r="F13" s="68"/>
    </row>
    <row r="14" customFormat="false" ht="19.5" hidden="false" customHeight="true" outlineLevel="0" collapsed="false">
      <c r="A14" s="12" t="s">
        <v>582</v>
      </c>
      <c r="B14" s="68" t="s">
        <v>583</v>
      </c>
      <c r="C14" s="68"/>
      <c r="D14" s="68"/>
      <c r="E14" s="68"/>
      <c r="F14" s="68"/>
    </row>
    <row r="15" customFormat="false" ht="19.5" hidden="false" customHeight="true" outlineLevel="0" collapsed="false">
      <c r="A15" s="18" t="s">
        <v>164</v>
      </c>
      <c r="B15" s="68" t="s">
        <v>584</v>
      </c>
      <c r="C15" s="68"/>
      <c r="D15" s="68"/>
      <c r="E15" s="68"/>
      <c r="F15" s="68"/>
    </row>
    <row r="16" customFormat="false" ht="19.5" hidden="false" customHeight="true" outlineLevel="0" collapsed="false">
      <c r="A16" s="40" t="s">
        <v>310</v>
      </c>
      <c r="B16" s="68" t="s">
        <v>585</v>
      </c>
      <c r="C16" s="68"/>
      <c r="D16" s="68"/>
      <c r="E16" s="68"/>
      <c r="F16" s="68"/>
    </row>
    <row r="17" customFormat="false" ht="19.5" hidden="false" customHeight="true" outlineLevel="0" collapsed="false">
      <c r="A17" s="24" t="s">
        <v>586</v>
      </c>
      <c r="B17" s="68" t="s">
        <v>587</v>
      </c>
      <c r="C17" s="68"/>
      <c r="D17" s="68"/>
      <c r="E17" s="68"/>
      <c r="F17" s="68"/>
    </row>
    <row r="18" customFormat="false" ht="19.5" hidden="false" customHeight="true" outlineLevel="0" collapsed="false">
      <c r="A18" s="30" t="s">
        <v>248</v>
      </c>
      <c r="B18" s="68" t="s">
        <v>588</v>
      </c>
      <c r="C18" s="68"/>
      <c r="D18" s="68"/>
      <c r="E18" s="68"/>
      <c r="F18" s="68"/>
    </row>
    <row r="19" customFormat="false" ht="19.5" hidden="false" customHeight="true" outlineLevel="0" collapsed="false">
      <c r="A19" s="46" t="s">
        <v>589</v>
      </c>
      <c r="B19" s="68" t="s">
        <v>590</v>
      </c>
      <c r="C19" s="68"/>
      <c r="D19" s="68"/>
      <c r="E19" s="68"/>
      <c r="F19" s="68"/>
    </row>
    <row r="20" customFormat="false" ht="19.5" hidden="false" customHeight="true" outlineLevel="0" collapsed="false">
      <c r="A20" s="53" t="s">
        <v>591</v>
      </c>
      <c r="B20" s="68" t="s">
        <v>592</v>
      </c>
      <c r="C20" s="68"/>
      <c r="D20" s="68"/>
      <c r="E20" s="68"/>
      <c r="F20" s="68"/>
    </row>
    <row r="22" customFormat="false" ht="99.75" hidden="false" customHeight="true" outlineLevel="0" collapsed="false">
      <c r="A22" s="71" t="s">
        <v>593</v>
      </c>
      <c r="B22" s="71"/>
      <c r="C22" s="71"/>
      <c r="D22" s="71"/>
      <c r="E22" s="71"/>
      <c r="F22" s="71"/>
    </row>
    <row r="23" customFormat="false" ht="15" hidden="false" customHeight="false" outlineLevel="0" collapsed="false">
      <c r="A23" s="71"/>
      <c r="B23" s="71"/>
      <c r="C23" s="71"/>
      <c r="D23" s="71"/>
      <c r="E23" s="71"/>
      <c r="F23" s="71"/>
    </row>
    <row r="24" customFormat="false" ht="15" hidden="false" customHeight="false" outlineLevel="0" collapsed="false">
      <c r="A24" s="71"/>
      <c r="B24" s="71"/>
      <c r="C24" s="71"/>
      <c r="D24" s="71"/>
      <c r="E24" s="71"/>
      <c r="F24" s="71"/>
    </row>
    <row r="25" customFormat="false" ht="15" hidden="false" customHeight="false" outlineLevel="0" collapsed="false">
      <c r="A25" s="71"/>
      <c r="B25" s="71"/>
      <c r="C25" s="71"/>
      <c r="D25" s="71"/>
      <c r="E25" s="71"/>
      <c r="F25" s="71"/>
    </row>
    <row r="26" customFormat="false" ht="15" hidden="false" customHeight="false" outlineLevel="0" collapsed="false">
      <c r="A26" s="71"/>
      <c r="B26" s="71"/>
      <c r="C26" s="71"/>
      <c r="D26" s="71"/>
      <c r="E26" s="71"/>
      <c r="F26" s="71"/>
    </row>
    <row r="27" customFormat="false" ht="15" hidden="false" customHeight="false" outlineLevel="0" collapsed="false">
      <c r="A27" s="71"/>
      <c r="B27" s="71"/>
      <c r="C27" s="71"/>
      <c r="D27" s="71"/>
      <c r="E27" s="71"/>
      <c r="F27" s="71"/>
    </row>
  </sheetData>
  <mergeCells count="15">
    <mergeCell ref="A1:G1"/>
    <mergeCell ref="A2:G2"/>
    <mergeCell ref="A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A22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2026-03-28T16:27:21Z</dcterms:created>
  <dc:creator>openpyxl</dc:creator>
  <dc:description/>
  <dc:language>en-US</dc:language>
  <cp:lastModifiedBy/>
  <dcterms:modified xsi:type="dcterms:W3CDTF">2026-03-28T16:27:21Z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